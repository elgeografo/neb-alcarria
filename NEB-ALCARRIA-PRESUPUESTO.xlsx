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ARAMETROS" sheetId="2" state="visible" r:id="rId4"/>
    <sheet name="REFERENCIAS_RD" sheetId="3" state="visible" r:id="rId5"/>
    <sheet name="ACTIVIDADES" sheetId="4" state="visible" r:id="rId6"/>
    <sheet name="LL0" sheetId="5" state="visible" r:id="rId7"/>
    <sheet name="LL1" sheetId="6" state="visible" r:id="rId8"/>
    <sheet name="LL2" sheetId="7" state="visible" r:id="rId9"/>
    <sheet name="LL3" sheetId="8" state="visible" r:id="rId10"/>
    <sheet name="LL4" sheetId="9" state="visible" r:id="rId11"/>
    <sheet name="LL5" sheetId="10" state="visible" r:id="rId12"/>
    <sheet name="LL6" sheetId="11" state="visible" r:id="rId13"/>
    <sheet name="RESUMEN_LLS" sheetId="12" state="visible" r:id="rId14"/>
    <sheet name="PERSONAL" sheetId="13" state="visible" r:id="rId15"/>
    <sheet name="VIAJES" sheetId="14" state="visible" r:id="rId16"/>
    <sheet name="MATERIALES" sheetId="15" state="visible" r:id="rId17"/>
    <sheet name="INVERSIONES" sheetId="16" state="visible" r:id="rId18"/>
    <sheet name="PRESUPUESTO" sheetId="17" state="visible" r:id="rId19"/>
  </sheets>
  <definedNames>
    <definedName function="false" hidden="false" name="actividades_asist_estud" vbProcedure="false">ACTIVIDADES!$G$5:$G$50</definedName>
    <definedName function="false" hidden="false" name="actividades_asist_prof" vbProcedure="false">ACTIVIDADES!$F$5:$F$50</definedName>
    <definedName function="false" hidden="false" name="actividades_asist_total" vbProcedure="false">ACTIVIDADES!$H$5:$H$50</definedName>
    <definedName function="false" hidden="false" name="actividades_dias" vbProcedure="false">ACTIVIDADES!$D$5:$D$50</definedName>
    <definedName function="false" hidden="false" name="actividades_ediciones" vbProcedure="false">ACTIVIDADES!$E$5:$E$50</definedName>
    <definedName function="false" hidden="false" name="alojamiento" vbProcedure="false">PARAMETROS!$C$21</definedName>
    <definedName function="false" hidden="false" name="alojamiento_copr" vbProcedure="false">PARAMETROS!$C$57</definedName>
    <definedName function="false" hidden="false" name="bus_dia" vbProcedure="false">PARAMETROS!$C$52</definedName>
    <definedName function="false" hidden="false" name="cap_bus" vbProcedure="false">PARAMETROS!$C$53</definedName>
    <definedName function="false" hidden="false" name="cap_vehiculo_copr" vbProcedure="false">PARAMETROS!$C$60</definedName>
    <definedName function="false" hidden="false" name="ext_h" vbProcedure="false">PARAMETROS!$C$14</definedName>
    <definedName function="false" hidden="false" name="gp1_ss" vbProcedure="false">PARAMETROS!$C$7</definedName>
    <definedName function="false" hidden="false" name="gp2_ss" vbProcedure="false">PARAMETROS!$C$8</definedName>
    <definedName function="false" hidden="false" name="gp3_ss" vbProcedure="false">PARAMETROS!$C$9</definedName>
    <definedName function="false" hidden="false" name="gp4_ss" vbProcedure="false">PARAMETROS!$C$10</definedName>
    <definedName function="false" hidden="false" name="gp5_ss" vbProcedure="false">PARAMETROS!$C$11</definedName>
    <definedName function="false" hidden="false" name="horas_anuales" vbProcedure="false">PARAMETROS!$C$15</definedName>
    <definedName function="false" hidden="false" name="inten_C" vbProcedure="false">PARAMETROS!$C$42</definedName>
    <definedName function="false" hidden="false" name="km_coche" vbProcedure="false">PARAMETROS!$C$24</definedName>
    <definedName function="false" hidden="false" name="km_madrid_pastrana" vbProcedure="false">PARAMETROS!$C$51</definedName>
    <definedName function="false" hidden="false" name="manut_dia" vbProcedure="false">PARAMETROS!$C$22</definedName>
    <definedName function="false" hidden="false" name="manut_dia_copr" vbProcedure="false">PARAMETROS!$C$58</definedName>
    <definedName function="false" hidden="false" name="manut_med" vbProcedure="false">PARAMETROS!$C$23</definedName>
    <definedName function="false" hidden="false" name="manut_med_copr" vbProcedure="false">PARAMETROS!$C$59</definedName>
    <definedName function="false" hidden="false" name="meses_p1" vbProcedure="false">PARAMETROS!$C$46</definedName>
    <definedName function="false" hidden="false" name="meses_p2" vbProcedure="false">PARAMETROS!$C$47</definedName>
    <definedName function="false" hidden="false" name="meses_proy" vbProcedure="false">PARAMETROS!$C$48</definedName>
    <definedName function="false" hidden="false" name="min_subv" vbProcedure="false">PARAMETROS!$C$31</definedName>
    <definedName function="false" hidden="false" name="n_vehiculos_copr" vbProcedure="false">PARAMETROS!$C$61</definedName>
    <definedName function="false" hidden="false" name="pct_p1" vbProcedure="false">PARAMETROS!$C$44</definedName>
    <definedName function="false" hidden="false" name="pct_p2" vbProcedure="false">PARAMETROS!$C$45</definedName>
    <definedName function="false" hidden="false" name="ratio_prep" vbProcedure="false">PARAMETROS!$C$16</definedName>
    <definedName function="false" hidden="false" name="tasa_ind" vbProcedure="false">PARAMETROS!$C$40</definedName>
    <definedName function="false" hidden="false" name="tope_aud" vbProcedure="false">PARAMETROS!$C$39</definedName>
    <definedName function="false" hidden="false" name="tope_com" vbProcedure="false">PARAMETROS!$C$36</definedName>
    <definedName function="false" hidden="false" name="tope_coord" vbProcedure="false">PARAMETROS!$C$32</definedName>
    <definedName function="false" hidden="false" name="tope_ent" vbProcedure="false">PARAMETROS!$C$37</definedName>
    <definedName function="false" hidden="false" name="tope_fungible" vbProcedure="false">PARAMETROS!$C$35</definedName>
    <definedName function="false" hidden="false" name="tope_inv" vbProcedure="false">PARAMETROS!$C$34</definedName>
    <definedName function="false" hidden="false" name="tope_seg" vbProcedure="false">PARAMETROS!$C$38</definedName>
    <definedName function="false" hidden="false" name="tope_subv" vbProcedure="false">PARAMETROS!$C$30</definedName>
    <definedName function="false" hidden="false" name="tope_viajes" vbProcedure="false">PARAMETROS!$C$33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<sst xmlns="http://schemas.openxmlformats.org/spreadsheetml/2006/main" count="1431" uniqueCount="693">
  <si>
    <t xml:space="preserve">NEB-ALCARRIA — Presupuesto</t>
  </si>
  <si>
    <t xml:space="preserve">Programa I.B (Actividades demostrativas) — RD 251/2024 — Convocatoria 2026</t>
  </si>
  <si>
    <t xml:space="preserve">Versión</t>
  </si>
  <si>
    <t xml:space="preserve">1.0 (2026-05-09)</t>
  </si>
  <si>
    <t xml:space="preserve">Tope subvención</t>
  </si>
  <si>
    <t xml:space="preserve">500.000 € (mín. 70.000 €) por propuesta de actividades</t>
  </si>
  <si>
    <t xml:space="preserve">Objetivo del proyecto</t>
  </si>
  <si>
    <t xml:space="preserve">~250.000–300.000 € (conservador, margen frente al tope)</t>
  </si>
  <si>
    <t xml:space="preserve">Leyenda de colores y formato</t>
  </si>
  <si>
    <t xml:space="preserve">Azul</t>
  </si>
  <si>
    <t xml:space="preserve">Input (cifra modificable por el usuario)</t>
  </si>
  <si>
    <t xml:space="preserve">Negro</t>
  </si>
  <si>
    <t xml:space="preserve">Fórmula / cálculo derivado</t>
  </si>
  <si>
    <t xml:space="preserve">Verde</t>
  </si>
  <si>
    <t xml:space="preserve">Enlace a celda de otra hoja</t>
  </si>
  <si>
    <t xml:space="preserve">Fondo amarillo</t>
  </si>
  <si>
    <t xml:space="preserve">Hipótesis clave / atención</t>
  </si>
  <si>
    <t xml:space="preserve">Fondo verde claro</t>
  </si>
  <si>
    <t xml:space="preserve">Total / subtotal</t>
  </si>
  <si>
    <t xml:space="preserve">Fondo rojo claro</t>
  </si>
  <si>
    <t xml:space="preserve">Tope rebasado (control)</t>
  </si>
  <si>
    <t xml:space="preserve">Índice de hojas</t>
  </si>
  <si>
    <t xml:space="preserve">1. PARAMETROS</t>
  </si>
  <si>
    <t xml:space="preserve">Fuente única de tarifas, dietas y topes (azul = inputs)</t>
  </si>
  <si>
    <t xml:space="preserve">2. REFERENCIAS_RD</t>
  </si>
  <si>
    <t xml:space="preserve">Cita textual del RD/FAQ/Infoday para cada parámetro</t>
  </si>
  <si>
    <t xml:space="preserve">3. ACTIVIDADES</t>
  </si>
  <si>
    <t xml:space="preserve">Listado maestro A1–A23 (familia, días, ediciones, asistentes)</t>
  </si>
  <si>
    <t xml:space="preserve">4. PERSONAL</t>
  </si>
  <si>
    <t xml:space="preserve">A.1–A.5 (docente, apoyo, coordinación) por actividad</t>
  </si>
  <si>
    <t xml:space="preserve">5. VIAJES</t>
  </si>
  <si>
    <t xml:space="preserve">B.1 transporte + alojamiento + manutención por actividad/edición</t>
  </si>
  <si>
    <t xml:space="preserve">6. MATERIALES</t>
  </si>
  <si>
    <t xml:space="preserve">B.2–B.7 (entornos, fungible, seguros, auditoría, alquileres, comunicación)</t>
  </si>
  <si>
    <t xml:space="preserve">7. INVERSIONES</t>
  </si>
  <si>
    <t xml:space="preserve">C.1 inventariables (amortización) y C.2 otras inversiones</t>
  </si>
  <si>
    <t xml:space="preserve">8. PRESUPUESTO</t>
  </si>
  <si>
    <t xml:space="preserve">Resumen final por partida, P1/P2, UPM/COPRODELI, control de topes</t>
  </si>
  <si>
    <t xml:space="preserve">Cómo usar</t>
  </si>
  <si>
    <t xml:space="preserve">1. TODOS los parámetros se editan SOLO en la hoja PARAMETROS. Cualquier cambio se propaga al resto.</t>
  </si>
  <si>
    <t xml:space="preserve">2. Las cifras con FONDO AMARILLO son hipótesis nuestras: revísalas antes de presentar la solicitud.</t>
  </si>
  <si>
    <t xml:space="preserve">3. La hoja PRESUPUESTO incluye un panel de control con semáforo: si una celda se pone roja, hay tope rebasado.</t>
  </si>
  <si>
    <t xml:space="preserve">4. Las horas de estudiantes (TE) NO suman al coste de personal (RD: solo asalariados); sí a viajes/dietas.</t>
  </si>
  <si>
    <t xml:space="preserve">5. La amortización C.1 se calcula automáticamente con vida útil del activo y meses de proyecto (17 m).</t>
  </si>
  <si>
    <t xml:space="preserve">6. Para validar el archivo, ejecutar scripts/recalc.py de la skill xlsx tras cualquier cambio importante.</t>
  </si>
  <si>
    <t xml:space="preserve">PARAMETROS — fuente única de verdad</t>
  </si>
  <si>
    <t xml:space="preserve">Cualquier modificación de tarifas, dietas o topes se hace AQUÍ y se propaga al resto del libro.</t>
  </si>
  <si>
    <t xml:space="preserve">A · TARIFAS DE PERSONAL</t>
  </si>
  <si>
    <t xml:space="preserve">Concepto</t>
  </si>
  <si>
    <t xml:space="preserve">Valor</t>
  </si>
  <si>
    <t xml:space="preserve">Unidad</t>
  </si>
  <si>
    <t xml:space="preserve">Ref RD</t>
  </si>
  <si>
    <t xml:space="preserve">Notas</t>
  </si>
  <si>
    <t xml:space="preserve">GP1 con Seguridad Social — Doctor/Licenciado/Ingeniero</t>
  </si>
  <si>
    <t xml:space="preserve">€/h</t>
  </si>
  <si>
    <t xml:space="preserve">RD-01</t>
  </si>
  <si>
    <t xml:space="preserve">Tope coste/hora personal propio</t>
  </si>
  <si>
    <t xml:space="preserve">GP2 con SS — Ing. Técnico/Diplomado</t>
  </si>
  <si>
    <t xml:space="preserve">RD-02</t>
  </si>
  <si>
    <t xml:space="preserve">GP3 con SS — Jefes admin/taller, Ayudantes FPII</t>
  </si>
  <si>
    <t xml:space="preserve">RD-03</t>
  </si>
  <si>
    <t xml:space="preserve">GP4 con SS — Auxiliares administrativos</t>
  </si>
  <si>
    <t xml:space="preserve">RD-04</t>
  </si>
  <si>
    <t xml:space="preserve">GP5 con SS — Oficial 1ª/2ª/3ª, especialistas, peones</t>
  </si>
  <si>
    <t xml:space="preserve">RD-05</t>
  </si>
  <si>
    <t xml:space="preserve">Albañiles, carpinteros, instaladores</t>
  </si>
  <si>
    <t xml:space="preserve">GP1 sin SS</t>
  </si>
  <si>
    <t xml:space="preserve">RD-06</t>
  </si>
  <si>
    <t xml:space="preserve">GP5 sin SS</t>
  </si>
  <si>
    <t xml:space="preserve">RD-07</t>
  </si>
  <si>
    <t xml:space="preserve">Personal externo (A.1, A.2, A.3 ext.) — IVA excl.</t>
  </si>
  <si>
    <t xml:space="preserve">RD-08</t>
  </si>
  <si>
    <t xml:space="preserve">Tope uniforme; sin desglose por GP</t>
  </si>
  <si>
    <t xml:space="preserve">Tope horas anuales por trabajador</t>
  </si>
  <si>
    <t xml:space="preserve">h/año</t>
  </si>
  <si>
    <t xml:space="preserve">RD-09</t>
  </si>
  <si>
    <t xml:space="preserve">Estándar laboral</t>
  </si>
  <si>
    <t xml:space="preserve">Ratio prep. docencia (h prep / h impartida)</t>
  </si>
  <si>
    <t xml:space="preserve">ratio</t>
  </si>
  <si>
    <t xml:space="preserve">RD-10</t>
  </si>
  <si>
    <t xml:space="preserve">Solo personal docente; NO aplica al apoyo (FAQ 3.34)</t>
  </si>
  <si>
    <t xml:space="preserve">B · DIETAS Y KILOMETRAJE (RD 462/2002 grupo 2)</t>
  </si>
  <si>
    <t xml:space="preserve">Alojamiento</t>
  </si>
  <si>
    <t xml:space="preserve">€/noche/persona</t>
  </si>
  <si>
    <t xml:space="preserve">RD-11</t>
  </si>
  <si>
    <t xml:space="preserve">Mismo importe para todo el equipo y participantes</t>
  </si>
  <si>
    <t xml:space="preserve">Manutención día completo</t>
  </si>
  <si>
    <t xml:space="preserve">€/día/persona</t>
  </si>
  <si>
    <t xml:space="preserve">RD-12</t>
  </si>
  <si>
    <t xml:space="preserve">Almuerzo o cena</t>
  </si>
  <si>
    <t xml:space="preserve">€/persona</t>
  </si>
  <si>
    <t xml:space="preserve">RD-13</t>
  </si>
  <si>
    <t xml:space="preserve">FAQ 3.33: aplica si jornada sin pernocta</t>
  </si>
  <si>
    <t xml:space="preserve">Locomoción coche particular</t>
  </si>
  <si>
    <t xml:space="preserve">€/km</t>
  </si>
  <si>
    <t xml:space="preserve">RD-14</t>
  </si>
  <si>
    <t xml:space="preserve">Locomoción motocicleta</t>
  </si>
  <si>
    <t xml:space="preserve">RD-15</t>
  </si>
  <si>
    <t xml:space="preserve">C · TOPES Y PORCENTAJES</t>
  </si>
  <si>
    <t xml:space="preserve">Tope subvención total</t>
  </si>
  <si>
    <t xml:space="preserve">€</t>
  </si>
  <si>
    <t xml:space="preserve">RD-16</t>
  </si>
  <si>
    <t xml:space="preserve">Por propuesta de actividades</t>
  </si>
  <si>
    <t xml:space="preserve">Mínimo subvención total</t>
  </si>
  <si>
    <t xml:space="preserve">RD-17</t>
  </si>
  <si>
    <t xml:space="preserve">Si justificas menos, fraude de ley</t>
  </si>
  <si>
    <t xml:space="preserve">Tope coordinación (A.5) sobre directos</t>
  </si>
  <si>
    <t xml:space="preserve">RD-18</t>
  </si>
  <si>
    <t xml:space="preserve">Máximo 20 %</t>
  </si>
  <si>
    <t xml:space="preserve">Tope viajes (B.1) sobre directos</t>
  </si>
  <si>
    <t xml:space="preserve">RD-19</t>
  </si>
  <si>
    <t xml:space="preserve">Máximo 40 %</t>
  </si>
  <si>
    <t xml:space="preserve">Tope inversiones (C.1+C.2) sobre directos</t>
  </si>
  <si>
    <t xml:space="preserve">RD-20</t>
  </si>
  <si>
    <t xml:space="preserve">Máximo 50 %; intensidad 65 %</t>
  </si>
  <si>
    <t xml:space="preserve">Tope material fungible (B.3) por participante</t>
  </si>
  <si>
    <t xml:space="preserve">€/part.</t>
  </si>
  <si>
    <t xml:space="preserve">RD-21</t>
  </si>
  <si>
    <t xml:space="preserve">Por participante único, no edición</t>
  </si>
  <si>
    <t xml:space="preserve">Tope comunicación (B.7)</t>
  </si>
  <si>
    <t xml:space="preserve">RD-22</t>
  </si>
  <si>
    <t xml:space="preserve">Por propuesta</t>
  </si>
  <si>
    <t xml:space="preserve">Tope entornos virtuales (B.2)</t>
  </si>
  <si>
    <t xml:space="preserve">RD-23</t>
  </si>
  <si>
    <t xml:space="preserve">Tope seguros (B.4)</t>
  </si>
  <si>
    <t xml:space="preserve">RD-24</t>
  </si>
  <si>
    <t xml:space="preserve">Tope auditoría (B.5)</t>
  </si>
  <si>
    <t xml:space="preserve">RD-25</t>
  </si>
  <si>
    <t xml:space="preserve">Máx. 1 % subvención</t>
  </si>
  <si>
    <t xml:space="preserve">Tasa indirectos (sobre personal directo)</t>
  </si>
  <si>
    <t xml:space="preserve">RD-26</t>
  </si>
  <si>
    <t xml:space="preserve">Tipo fijo</t>
  </si>
  <si>
    <t xml:space="preserve">Intensidad de ayuda (general)</t>
  </si>
  <si>
    <t xml:space="preserve">RD-27</t>
  </si>
  <si>
    <t xml:space="preserve">100 % (excepto inversiones C: 65 %)</t>
  </si>
  <si>
    <t xml:space="preserve">Intensidad de ayuda inversiones C</t>
  </si>
  <si>
    <t xml:space="preserve">RD-28</t>
  </si>
  <si>
    <t xml:space="preserve">Subcontratación — autorización si &gt; 60 k Y &gt; 20 %</t>
  </si>
  <si>
    <t xml:space="preserve">—</t>
  </si>
  <si>
    <t xml:space="preserve">RD-29</t>
  </si>
  <si>
    <t xml:space="preserve">Se pide al MAPA</t>
  </si>
  <si>
    <t xml:space="preserve">% objetivo presupuesto P1</t>
  </si>
  <si>
    <t xml:space="preserve">RD-30</t>
  </si>
  <si>
    <t xml:space="preserve">Recomendado por FEGA (informativo)</t>
  </si>
  <si>
    <t xml:space="preserve">% objetivo presupuesto P2</t>
  </si>
  <si>
    <t xml:space="preserve">RD-31</t>
  </si>
  <si>
    <t xml:space="preserve">(informativo)</t>
  </si>
  <si>
    <t xml:space="preserve">Meses Periodo 1 (P1)</t>
  </si>
  <si>
    <t xml:space="preserve">meses</t>
  </si>
  <si>
    <t xml:space="preserve">nov 2026 → may 2027</t>
  </si>
  <si>
    <t xml:space="preserve">Meses Periodo 2 (P2)</t>
  </si>
  <si>
    <t xml:space="preserve">jul 2027 → mar 2028 (incluye cierre)</t>
  </si>
  <si>
    <t xml:space="preserve">Duración proyecto total (meses)</t>
  </si>
  <si>
    <t xml:space="preserve">Calculado: meses P1 + meses P2</t>
  </si>
  <si>
    <t xml:space="preserve">D · DATOS TERRITORIALES Y LOGÍSTICOS</t>
  </si>
  <si>
    <t xml:space="preserve">Ref</t>
  </si>
  <si>
    <t xml:space="preserve">Distancia Madrid → Pastrana (ida)</t>
  </si>
  <si>
    <t xml:space="preserve">km</t>
  </si>
  <si>
    <t xml:space="preserve">Aprox.</t>
  </si>
  <si>
    <t xml:space="preserve">Coste alquiler bus 50 plazas (ida y vuelta)</t>
  </si>
  <si>
    <t xml:space="preserve">€/día</t>
  </si>
  <si>
    <t xml:space="preserve">Estimación de mercado (residual si COPRODELI no cubre)</t>
  </si>
  <si>
    <t xml:space="preserve">Capacidad bus alquilado externo</t>
  </si>
  <si>
    <t xml:space="preserve">plazas</t>
  </si>
  <si>
    <t xml:space="preserve">E · PRECIOS COPRODELI (efectivos · todos por debajo de topes oficiales)</t>
  </si>
  <si>
    <t xml:space="preserve">Alojamiento (residencia COPRODELI)</t>
  </si>
  <si>
    <t xml:space="preserve">€/noche</t>
  </si>
  <si>
    <t xml:space="preserve">Tope oficial 65,97 € → -17 %</t>
  </si>
  <si>
    <t xml:space="preserve">Manutención día completo COPRODELI (almuerzo+cena)</t>
  </si>
  <si>
    <t xml:space="preserve">15 € almuerzo + 15 € cena. Tope oficial 37,40 € → -20 %</t>
  </si>
  <si>
    <t xml:space="preserve">Almuerzo o cena COPRODELI (media dieta)</t>
  </si>
  <si>
    <t xml:space="preserve">€/cubierto</t>
  </si>
  <si>
    <t xml:space="preserve">Tope oficial 18,70 € → -20 %</t>
  </si>
  <si>
    <t xml:space="preserve">Capacidad TOTAL flota COPRODELI (suma de los 4 vehículos)</t>
  </si>
  <si>
    <t xml:space="preserve">4 vehículos (coches y furgoneta), 20 plazas en total entre todos</t>
  </si>
  <si>
    <t xml:space="preserve">Nº vehículos COPRODELI disponibles</t>
  </si>
  <si>
    <t xml:space="preserve">vehículos</t>
  </si>
  <si>
    <t xml:space="preserve">Suman 20 plazas en total. Para grupos &gt; 20, la flota hace múltiples viajes I+V (ceil(viajeros/20)) o se complementa con coche particular al kilometraje oficial 0,26 €/km</t>
  </si>
  <si>
    <t xml:space="preserve">REFERENCIAS NORMATIVAS — base documental de cada parámetro</t>
  </si>
  <si>
    <t xml:space="preserve">Cada fila enlaza un parámetro de PARAMETROS con la cita textual del RD 251/2024, FAQ del MAPA o el Infoday FEGA.</t>
  </si>
  <si>
    <t xml:space="preserve">Cita textual (extracto)</t>
  </si>
  <si>
    <t xml:space="preserve">Referencia normativa</t>
  </si>
  <si>
    <t xml:space="preserve">Fuente / FAQ</t>
  </si>
  <si>
    <t xml:space="preserve">GP1 con SS</t>
  </si>
  <si>
    <t xml:space="preserve">27,98 €/h</t>
  </si>
  <si>
    <t xml:space="preserve">"Coste hora por grupo profesional CON Seguridad Social: GP 1 = 27,98"</t>
  </si>
  <si>
    <t xml:space="preserve">RD 251/2024 anexo costes unitarios</t>
  </si>
  <si>
    <t xml:space="preserve">Convocatoria 2026 / Resolución FEGA 2-ago-2023</t>
  </si>
  <si>
    <t xml:space="preserve">Doctor, Licenciado, Ingeniero, Arquitecto</t>
  </si>
  <si>
    <t xml:space="preserve">GP2 con SS</t>
  </si>
  <si>
    <t xml:space="preserve">19,62 €/h</t>
  </si>
  <si>
    <t xml:space="preserve">"GP 2 = 19,62"</t>
  </si>
  <si>
    <t xml:space="preserve">idem</t>
  </si>
  <si>
    <t xml:space="preserve">Ing. Técnico, Diplomado, Arquitecto Técnico</t>
  </si>
  <si>
    <t xml:space="preserve">GP3 con SS</t>
  </si>
  <si>
    <t xml:space="preserve">16,00 €/h</t>
  </si>
  <si>
    <t xml:space="preserve">"GP 3 = 16"</t>
  </si>
  <si>
    <t xml:space="preserve">Jefes admin/taller, Ayudantes no titulados (FP II)</t>
  </si>
  <si>
    <t xml:space="preserve">GP4 con SS</t>
  </si>
  <si>
    <t xml:space="preserve">15,73 €/h</t>
  </si>
  <si>
    <t xml:space="preserve">"GP 4 = 15,73"</t>
  </si>
  <si>
    <t xml:space="preserve">Auxiliares administrativos</t>
  </si>
  <si>
    <t xml:space="preserve">GP5 con SS</t>
  </si>
  <si>
    <t xml:space="preserve">12,47 €/h</t>
  </si>
  <si>
    <t xml:space="preserve">"GP 5 = 12,47"</t>
  </si>
  <si>
    <t xml:space="preserve">Oficial 1ª/2ª/3ª, especialistas, peones</t>
  </si>
  <si>
    <t xml:space="preserve">22,21 €/h</t>
  </si>
  <si>
    <t xml:space="preserve">"Coste hora límite por grupo profesional SIN Seguridad Social: GP 1 = 22,21"</t>
  </si>
  <si>
    <t xml:space="preserve">Trabajadores no cotizantes al Régimen General</t>
  </si>
  <si>
    <t xml:space="preserve">9,51 €/h</t>
  </si>
  <si>
    <t xml:space="preserve">"GP 5 = 9,51"</t>
  </si>
  <si>
    <t xml:space="preserve">Personal externo</t>
  </si>
  <si>
    <t xml:space="preserve">90 €/h IVA excl.</t>
  </si>
  <si>
    <t xml:space="preserve">"En el caso del personal docente externo el importe máximo de financiación será de 90 euros la hora, IVA excluido"</t>
  </si>
  <si>
    <t xml:space="preserve">RD 251/2024 art. 8.1.a.1</t>
  </si>
  <si>
    <t xml:space="preserve">Convocatoria 2026</t>
  </si>
  <si>
    <t xml:space="preserve">Aplica a personal docente externo (A.1) y apoyo externo (A.2)</t>
  </si>
  <si>
    <t xml:space="preserve">Tope horas anuales</t>
  </si>
  <si>
    <t xml:space="preserve">1.720 h/año</t>
  </si>
  <si>
    <t xml:space="preserve">"El número máximo de horas serán 1720 horas anuales"</t>
  </si>
  <si>
    <t xml:space="preserve">FAQ 3.34</t>
  </si>
  <si>
    <t xml:space="preserve">FAQs Convocatoria 2026</t>
  </si>
  <si>
    <t xml:space="preserve">Personal de apoyo</t>
  </si>
  <si>
    <t xml:space="preserve">Ratio preparación docente</t>
  </si>
  <si>
    <t xml:space="preserve">1,5 h prep / h impartida</t>
  </si>
  <si>
    <t xml:space="preserve">"podrán contabilizarse las horas de preparación de las actividades hasta un límite de 1,5 horas por hora impartida"</t>
  </si>
  <si>
    <t xml:space="preserve">RD 251/2024 art. 8.1.a.1.i</t>
  </si>
  <si>
    <t xml:space="preserve">SOLO personal docente. NO aplica al personal de apoyo (FAQ 3.34)</t>
  </si>
  <si>
    <t xml:space="preserve">65,97 €/noche</t>
  </si>
  <si>
    <t xml:space="preserve">"alojamiento 65,97 euros/día"</t>
  </si>
  <si>
    <t xml:space="preserve">RD 462/2002 grupo 2</t>
  </si>
  <si>
    <t xml:space="preserve">Convocatoria 2026 ap. Quinto.1.a.3º</t>
  </si>
  <si>
    <t xml:space="preserve">Mismo importe para personal y participantes</t>
  </si>
  <si>
    <t xml:space="preserve">37,40 €/día</t>
  </si>
  <si>
    <t xml:space="preserve">"manutención 37,40 euros/día completo"</t>
  </si>
  <si>
    <t xml:space="preserve">Almuerzo / cena</t>
  </si>
  <si>
    <t xml:space="preserve">18,70 €</t>
  </si>
  <si>
    <t xml:space="preserve">"18,70 euros/almuerzo o cena"</t>
  </si>
  <si>
    <t xml:space="preserve">Convocatoria 2026 / FAQ 3.33</t>
  </si>
  <si>
    <t xml:space="preserve">FAQ 3.33: jornada sin pernocta = aplica media dieta (18,70 €)</t>
  </si>
  <si>
    <t xml:space="preserve">Locomoción coche</t>
  </si>
  <si>
    <t xml:space="preserve">0,26 €/km</t>
  </si>
  <si>
    <t xml:space="preserve">"0,26 euros/kilómetro recorrido por el uso de automóviles"</t>
  </si>
  <si>
    <t xml:space="preserve">RD 462/2002</t>
  </si>
  <si>
    <t xml:space="preserve">Locomoción moto</t>
  </si>
  <si>
    <t xml:space="preserve">0,106 €/km</t>
  </si>
  <si>
    <t xml:space="preserve">"0,106 euros/kilómetro recorrido por el uso de motocicletas"</t>
  </si>
  <si>
    <t xml:space="preserve">500.000 €</t>
  </si>
  <si>
    <t xml:space="preserve">Tope máximo por propuesta de actividades</t>
  </si>
  <si>
    <t xml:space="preserve">Infoday FEGA</t>
  </si>
  <si>
    <t xml:space="preserve">Mínimo subvención</t>
  </si>
  <si>
    <t xml:space="preserve">70.000 €</t>
  </si>
  <si>
    <t xml:space="preserve">"hemos puesto una iniciativa mínima por propuesta de actividades que son 70.000"</t>
  </si>
  <si>
    <t xml:space="preserve">Si justificas menos = casi fraude de ley</t>
  </si>
  <si>
    <t xml:space="preserve">Tope coordinación</t>
  </si>
  <si>
    <t xml:space="preserve">20 % directos</t>
  </si>
  <si>
    <t xml:space="preserve">"Los gastos de personal de coordinación no podrán exceder del 20 % de los gastos directos"</t>
  </si>
  <si>
    <t xml:space="preserve">RD 251/2024 art. 8.1.a.1.iii</t>
  </si>
  <si>
    <t xml:space="preserve">Tope viajes y dietas</t>
  </si>
  <si>
    <t xml:space="preserve">40 % directos</t>
  </si>
  <si>
    <t xml:space="preserve">"Los gastos de transporte, alojamiento y manutención no podrán exceder el 40 % de los gastos directos"</t>
  </si>
  <si>
    <t xml:space="preserve">RD 251/2024 art. 8.1.a.5º</t>
  </si>
  <si>
    <t xml:space="preserve">Acumulado: personal + participantes + estudiantes</t>
  </si>
  <si>
    <t xml:space="preserve">Tope inversiones</t>
  </si>
  <si>
    <t xml:space="preserve">50 % directos · intensidad 65 %</t>
  </si>
  <si>
    <t xml:space="preserve">"importe máximo para la adquisición de estos bienes inventariables será de un 50 % de los gastos directos…intensidad de ayuda máxima del 65 %"</t>
  </si>
  <si>
    <t xml:space="preserve">RD 251/2024 art. 8.1.a.10º</t>
  </si>
  <si>
    <t xml:space="preserve">Convocatoria 2026 ap. Quinto</t>
  </si>
  <si>
    <t xml:space="preserve">Aplica a C.1 + C.2 conjuntamente</t>
  </si>
  <si>
    <t xml:space="preserve">Tope material fungible (B.3)</t>
  </si>
  <si>
    <t xml:space="preserve">40 €/participante</t>
  </si>
  <si>
    <t xml:space="preserve">"Máximo subvencionable de 40 euros por participante"</t>
  </si>
  <si>
    <t xml:space="preserve">Por participante único TOTAL del proyecto, no por edición</t>
  </si>
  <si>
    <t xml:space="preserve">1.500 €</t>
  </si>
  <si>
    <t xml:space="preserve">"Se establece un límite máximo de 1.500 euros por propuesta de actividades"</t>
  </si>
  <si>
    <t xml:space="preserve">RD 251/2024 art. 8.1.c</t>
  </si>
  <si>
    <t xml:space="preserve">Roll-ups, folletos, web, RRSS</t>
  </si>
  <si>
    <t xml:space="preserve">5.000 €</t>
  </si>
  <si>
    <t xml:space="preserve">"Se establece un límite máximo de 5.000 euros por Propuesta de Actividades"</t>
  </si>
  <si>
    <t xml:space="preserve">1.000 €</t>
  </si>
  <si>
    <t xml:space="preserve">Tope partida B.4</t>
  </si>
  <si>
    <t xml:space="preserve">Anexo XXII</t>
  </si>
  <si>
    <t xml:space="preserve">5.000 € · 1 % subvención</t>
  </si>
  <si>
    <t xml:space="preserve">Auditor: 1 % subvención concedida, máx. 5.000 €</t>
  </si>
  <si>
    <t xml:space="preserve">Tasa indirectos</t>
  </si>
  <si>
    <t xml:space="preserve">15 % personal directo</t>
  </si>
  <si>
    <t xml:space="preserve">"Estos costes se calcularán a un tipo fijo del 15 % de los costes directos de personal subvencionables"</t>
  </si>
  <si>
    <t xml:space="preserve">RD 251/2024 art. 8.1.b</t>
  </si>
  <si>
    <t xml:space="preserve">Por analogía art. 54.b Reg. UE 2021/1060</t>
  </si>
  <si>
    <t xml:space="preserve">Intensidad ayuda general</t>
  </si>
  <si>
    <t xml:space="preserve">100 %</t>
  </si>
  <si>
    <t xml:space="preserve">Intensidad ayuda al 100 % salvo C</t>
  </si>
  <si>
    <t xml:space="preserve">Intensidad ayuda C</t>
  </si>
  <si>
    <t xml:space="preserve">65 %</t>
  </si>
  <si>
    <t xml:space="preserve">"intensidad de ayuda máxima del 65 %"</t>
  </si>
  <si>
    <t xml:space="preserve">Subcontratación</t>
  </si>
  <si>
    <t xml:space="preserve">autorización si &gt; 60.000 € Y &gt; 20 %</t>
  </si>
  <si>
    <t xml:space="preserve">"la subcontratación de entidades vinculadas y las subcontrataciones elevadas que es pedir más de 60.000 € y más de un 20 %"</t>
  </si>
  <si>
    <t xml:space="preserve">Ley General Subvenciones</t>
  </si>
  <si>
    <t xml:space="preserve">Distribución P1 / P2</t>
  </si>
  <si>
    <t xml:space="preserve">30 / 70</t>
  </si>
  <si>
    <t xml:space="preserve">"recomendamos que dividáis vuestro presupuesto en un 30 % para el primer periodo de ejecución y en un 70 %"</t>
  </si>
  <si>
    <t xml:space="preserve">Recomendación; no obligatorio</t>
  </si>
  <si>
    <t xml:space="preserve">FAQ-3.34</t>
  </si>
  <si>
    <t xml:space="preserve">Personal de apoyo NO sujeto a 1,5 h prep</t>
  </si>
  <si>
    <t xml:space="preserve">"se define al personal de apoyo como personal 'no docente' por lo que no aplica dicha consideración"</t>
  </si>
  <si>
    <t xml:space="preserve">Novedad 2026: importante para acondicionamiento Living Lab</t>
  </si>
  <si>
    <t xml:space="preserve">FAQ-3.33</t>
  </si>
  <si>
    <t xml:space="preserve">Media dieta sin pernocta</t>
  </si>
  <si>
    <t xml:space="preserve">"jornada (6 horas) sin pernoctación… aplica… media dieta"</t>
  </si>
  <si>
    <t xml:space="preserve">FAQ 3.33</t>
  </si>
  <si>
    <t xml:space="preserve">FAQ-IB-DUR</t>
  </si>
  <si>
    <t xml:space="preserve">Actividad demostrativa ≤ 2 días</t>
  </si>
  <si>
    <t xml:space="preserve">"demostraciones presenciales, de corta duración (no superior a dos días)"</t>
  </si>
  <si>
    <t xml:space="preserve">Anexo II.B plantilla</t>
  </si>
  <si>
    <t xml:space="preserve">Plantilla Convocatoria 2026</t>
  </si>
  <si>
    <t xml:space="preserve">Hay que descomponer el proyecto en jornadas demostrativas de ≤ 2 días</t>
  </si>
  <si>
    <t xml:space="preserve">FAQ-PRESEN</t>
  </si>
  <si>
    <t xml:space="preserve">I.B = 100 % presencial</t>
  </si>
  <si>
    <t xml:space="preserve">"las actividades demostrativas… solo son presenciales, no se puede hacer demostraciones online"</t>
  </si>
  <si>
    <t xml:space="preserve">FAQ-PART</t>
  </si>
  <si>
    <t xml:space="preserve">Mínimo participantes</t>
  </si>
  <si>
    <t xml:space="preserve">10 / actividad</t>
  </si>
  <si>
    <t xml:space="preserve">"todas las actividades… deben de contar con un mínimo de 10 participantes"</t>
  </si>
  <si>
    <t xml:space="preserve">Guía del Solicitante</t>
  </si>
  <si>
    <t xml:space="preserve">AMORT</t>
  </si>
  <si>
    <t xml:space="preserve">Amortización C.1 = solo periodo subvencionable</t>
  </si>
  <si>
    <t xml:space="preserve">"La amortización correspondiente al periodo subvencionable en caso de compra de nueva maquinaria y equipo"</t>
  </si>
  <si>
    <t xml:space="preserve">RD 251/2024 art. 8.1.a.10º.i</t>
  </si>
  <si>
    <t xml:space="preserve">NO se imputa el 100 % de la compra; sólo cuota</t>
  </si>
  <si>
    <t xml:space="preserve">ACTIVIDADES — listado maestro · 7 Living Labs (LL-0..LL-6)</t>
  </si>
  <si>
    <t xml:space="preserve">Sustituye el modelo anterior de 25 jornadas sueltas. Cada LL es una actividad demostrativa presencial unitaria (Art. 5.6 RD 251/2024).</t>
  </si>
  <si>
    <t xml:space="preserve">Id</t>
  </si>
  <si>
    <t xml:space="preserve">Familia</t>
  </si>
  <si>
    <t xml:space="preserve">Actividad</t>
  </si>
  <si>
    <t xml:space="preserve">Días</t>
  </si>
  <si>
    <t xml:space="preserve">Ediciones</t>
  </si>
  <si>
    <t xml:space="preserve">Asist. prof./ed.</t>
  </si>
  <si>
    <t xml:space="preserve">Asist. estud./ed.</t>
  </si>
  <si>
    <t xml:space="preserve">Asist. total</t>
  </si>
  <si>
    <t xml:space="preserve">Periodo</t>
  </si>
  <si>
    <t xml:space="preserve">Ventana</t>
  </si>
  <si>
    <t xml:space="preserve">LL-0</t>
  </si>
  <si>
    <t xml:space="preserve">F0 · NEB + Morisca</t>
  </si>
  <si>
    <t xml:space="preserve">Concepto NEB + horticultura morisca alcarreña</t>
  </si>
  <si>
    <t xml:space="preserve">P1</t>
  </si>
  <si>
    <t xml:space="preserve">ene 2027</t>
  </si>
  <si>
    <t xml:space="preserve">LL-1</t>
  </si>
  <si>
    <t xml:space="preserve">F1 · CUE+SIG + COPRODELI-IA</t>
  </si>
  <si>
    <t xml:space="preserve">CUE+SIG · Itinerario digital del hortelano alcarreño (cuaderno COPRODELI-IA + integración CUE/SIGPAC)</t>
  </si>
  <si>
    <t xml:space="preserve">feb–abr 2027</t>
  </si>
  <si>
    <t xml:space="preserve">LL-2</t>
  </si>
  <si>
    <t xml:space="preserve">F2 · Drones agrarios</t>
  </si>
  <si>
    <t xml:space="preserve">Drones agrarios · RGB (cartografía + regadío) + multiespectral (NDVI fitosanitario)</t>
  </si>
  <si>
    <t xml:space="preserve">P2</t>
  </si>
  <si>
    <t xml:space="preserve">sep 2027</t>
  </si>
  <si>
    <t xml:space="preserve">LL-3</t>
  </si>
  <si>
    <t xml:space="preserve">F3 · Domo + Diseño</t>
  </si>
  <si>
    <t xml:space="preserve">Domo NEB · diseño digital + co-construcción (CAD → cálculo → estructura → cubierta → corcho)</t>
  </si>
  <si>
    <t xml:space="preserve">jul 2027</t>
  </si>
  <si>
    <t xml:space="preserve">LL-4</t>
  </si>
  <si>
    <t xml:space="preserve">F4 · Sensórica + FV + Com.</t>
  </si>
  <si>
    <t xml:space="preserve">Living Lab digital · sensórica IoT + fotovoltaica + comunicaciones + volcado al SIG</t>
  </si>
  <si>
    <t xml:space="preserve">ago–sep 2027</t>
  </si>
  <si>
    <t xml:space="preserve">LL-5</t>
  </si>
  <si>
    <t xml:space="preserve">F5 · Ciclo productivo</t>
  </si>
  <si>
    <t xml:space="preserve">Ciclo productivo estacional · 4 sesiones (otoño inicio · otoño cosecha · primavera inicio · primavera cosecha)</t>
  </si>
  <si>
    <t xml:space="preserve">sep 2027 · dic 2027 · feb 2028 · abr 2028</t>
  </si>
  <si>
    <t xml:space="preserve">LL-6</t>
  </si>
  <si>
    <t xml:space="preserve">F6 · Cierre</t>
  </si>
  <si>
    <t xml:space="preserve">Jornada final NEB-Alcarria · resultados, AKIS y replicabilidad</t>
  </si>
  <si>
    <t xml:space="preserve">abr 2028</t>
  </si>
  <si>
    <t xml:space="preserve">TOTAL</t>
  </si>
  <si>
    <t xml:space="preserve">LL0 · Concepto NEB + horticultura morisca alcarreña</t>
  </si>
  <si>
    <t xml:space="preserve">Hoja exploratoria. Convención: 1 día LL = 8 h imputables · h preparación ≤ 1,5 × h docencia (cap RD-10, solo docente).</t>
  </si>
  <si>
    <t xml:space="preserve">DATOS GENERALES</t>
  </si>
  <si>
    <t xml:space="preserve">duración total del LL (input)</t>
  </si>
  <si>
    <t xml:space="preserve">nº de ediciones (input)</t>
  </si>
  <si>
    <t xml:space="preserve">Asistentes</t>
  </si>
  <si>
    <t xml:space="preserve">total asistentes por edición</t>
  </si>
  <si>
    <t xml:space="preserve">P1 o P2</t>
  </si>
  <si>
    <t xml:space="preserve">mes(es) objetivo</t>
  </si>
  <si>
    <t xml:space="preserve">PERSONAL</t>
  </si>
  <si>
    <t xml:space="preserve">UPM</t>
  </si>
  <si>
    <t xml:space="preserve">COPRODELI</t>
  </si>
  <si>
    <t xml:space="preserve">Concepto / Rol</t>
  </si>
  <si>
    <t xml:space="preserve">Nº</t>
  </si>
  <si>
    <t xml:space="preserve">Grupo</t>
  </si>
  <si>
    <t xml:space="preserve">h/persona</t>
  </si>
  <si>
    <t xml:space="preserve">Coste</t>
  </si>
  <si>
    <t xml:space="preserve">Descripción</t>
  </si>
  <si>
    <t xml:space="preserve">Apoyo · GP1 (ingeniero / técnico)</t>
  </si>
  <si>
    <t xml:space="preserve">GP1</t>
  </si>
  <si>
    <t xml:space="preserve">Técnico UPM. Dossier de bienvenida, materiales conceptuales NEB, gestión del ponente externo.</t>
  </si>
  <si>
    <t xml:space="preserve">Técnico territorial COPR. Coordinación con sabios del lugar y Ayuntamiento.</t>
  </si>
  <si>
    <t xml:space="preserve">Apoyo · GP5 (oficial)</t>
  </si>
  <si>
    <t xml:space="preserve">GP5</t>
  </si>
  <si>
    <t xml:space="preserve">Oficial UPM. Montaje audiovisual, recepción de participantes.</t>
  </si>
  <si>
    <t xml:space="preserve">Oficial COPR. Montaje sala, manutención local, traslados internos.</t>
  </si>
  <si>
    <t xml:space="preserve">Personal docente</t>
  </si>
  <si>
    <t xml:space="preserve">Docente · GP1 (tutor presente todo el LL · 2d × 8h doc + 1,5× prep)</t>
  </si>
  <si>
    <t xml:space="preserve">Tutor UPM. Marco NEB Compass, dinámica multiactor, conducción de los 2 días.</t>
  </si>
  <si>
    <t xml:space="preserve">Tutor COPRODELI. Saber morisco hortícola, visita parcela, vínculo con sabios del lugar.</t>
  </si>
  <si>
    <t xml:space="preserve">Docente · GP5 (no aplica salvo casos especiales)</t>
  </si>
  <si>
    <t xml:space="preserve">Personal de coordinación</t>
  </si>
  <si>
    <t xml:space="preserve">Coordinación · GP1 (imputación parcial al LL desde A.5)</t>
  </si>
  <si>
    <t xml:space="preserve">Coordinadora UPM · dedicación parcial al LL.</t>
  </si>
  <si>
    <t xml:space="preserve">Coordinadora COPRODELI · dedicación parcial al LL.</t>
  </si>
  <si>
    <t xml:space="preserve">Coordinación · GP5 (no aplica)</t>
  </si>
  <si>
    <t xml:space="preserve">RESUMEN — HORAS Y COSTES DE LL0</t>
  </si>
  <si>
    <t xml:space="preserve">Bloque</t>
  </si>
  <si>
    <t xml:space="preserve">Horas UPM</t>
  </si>
  <si>
    <t xml:space="preserve">Coste UPM</t>
  </si>
  <si>
    <t xml:space="preserve">Horas COPR</t>
  </si>
  <si>
    <t xml:space="preserve">Coste COPR</t>
  </si>
  <si>
    <t xml:space="preserve">TOTAL PERSONAL LL0</t>
  </si>
  <si>
    <t xml:space="preserve">TOTAL COSTE PERSONAL (UPM + COPR)</t>
  </si>
  <si>
    <t xml:space="preserve">Para referencia · B.1 Viajes y dietas de LL0 (calculado en VIAJES persona-día):</t>
  </si>
  <si>
    <t xml:space="preserve">TOTAL LL0 (personal + B.1)</t>
  </si>
  <si>
    <t xml:space="preserve">Nota · Personal docente externo (A.1) y subcontratación (A.2) NO se incluyen aquí. Se añadirán al consolidar el modelo.</t>
  </si>
  <si>
    <t xml:space="preserve">LL1 · CUE+SIG · Itinerario digital del hortelano (cuaderno COPRODELI-IA + integración CUE/SIGPAC)</t>
  </si>
  <si>
    <t xml:space="preserve">Ingeniero UPM. Integración del cuaderno COPRODELI-IA con CUE/SIEX/SIGPAC, conectores, plantillas QGIS/QField, despliegue en servidor.</t>
  </si>
  <si>
    <t xml:space="preserve">Ingeniero COPRODELI. Adaptación del cuaderno COPRODELI-IA al contexto alcarreño, entrenamiento adicional de la IA con datos locales.</t>
  </si>
  <si>
    <t xml:space="preserve">Oficial UPM. Logística de las 2 semanas hábiles del LL.</t>
  </si>
  <si>
    <t xml:space="preserve">Oficial COPR. Manutención y logística in-situ.</t>
  </si>
  <si>
    <t xml:space="preserve">Docente · GP1 (tutor presente todo el LL · 10d × 8h doc + 1,5× prep)</t>
  </si>
  <si>
    <t xml:space="preserve">Tutor UPM. Imparte CUE/SIEX/SIGPAC, integración técnica, dronística para regadío.</t>
  </si>
  <si>
    <t xml:space="preserve">Tutor COPRODELI. Imparte el módulo IA del cuaderno COPRODELI-IA, planificación de cultivos, apoyo decisional.</t>
  </si>
  <si>
    <t xml:space="preserve">RESUMEN — HORAS Y COSTES DE LL1</t>
  </si>
  <si>
    <t xml:space="preserve">TOTAL PERSONAL LL1</t>
  </si>
  <si>
    <t xml:space="preserve">Para referencia · B.1 Viajes y dietas de LL1 (calculado en VIAJES persona-día):</t>
  </si>
  <si>
    <t xml:space="preserve">TOTAL LL1 (personal + B.1)</t>
  </si>
  <si>
    <t xml:space="preserve">LL2 · Drones agrarios · RGB (cartografía + regadío) + multiespectral (NDVI fitosanitario)</t>
  </si>
  <si>
    <t xml:space="preserve">Ingeniero UPM. Calibración multiespectral, plan de vuelo, procesado WebODM, plantillas NDVI/NDRE en QGIS.</t>
  </si>
  <si>
    <t xml:space="preserve">Técnico COPR. Coordinación territorial, permisos de vuelo locales.</t>
  </si>
  <si>
    <t xml:space="preserve">Oficial UPM. Logística de campo, baterías, EPIs.</t>
  </si>
  <si>
    <t xml:space="preserve">Oficial COPR. Logística in-situ.</t>
  </si>
  <si>
    <t xml:space="preserve">Docente · GP1 (tutor presente todo el LL · 4d × 8h doc + 1,5× prep)</t>
  </si>
  <si>
    <t xml:space="preserve">Tutor UPM. Vuelos RGB + multiespectral, procesado y análisis fitosanitario.</t>
  </si>
  <si>
    <t xml:space="preserve">Tutor COPR. Conexión con realidad de las acequias y vegas alcarreñas, interpretación local.</t>
  </si>
  <si>
    <t xml:space="preserve">RESUMEN — HORAS Y COSTES DE LL2</t>
  </si>
  <si>
    <t xml:space="preserve">TOTAL PERSONAL LL2</t>
  </si>
  <si>
    <t xml:space="preserve">Para referencia · B.1 Viajes y dietas de LL2 (calculado en VIAJES persona-día):</t>
  </si>
  <si>
    <t xml:space="preserve">TOTAL LL2 (personal + B.1)</t>
  </si>
  <si>
    <t xml:space="preserve">LL3 · Domo NEB · diseño digital + co-construcción (CAD → cálculo → estructura → cubierta → corcho)</t>
  </si>
  <si>
    <t xml:space="preserve">IP estructural UPM. Cálculo del polígono geodésico, supervisión técnica.</t>
  </si>
  <si>
    <t xml:space="preserve">Técnico COPR. Coordinación territorial con carpinteros locales y proveedores.</t>
  </si>
  <si>
    <t xml:space="preserve">Oficial UPM. Precorte y marcado en taller.</t>
  </si>
  <si>
    <t xml:space="preserve">Oficial COPR. Carpintería local, precorte, montaje in-situ.</t>
  </si>
  <si>
    <t xml:space="preserve">Tutor UPM. CAD, cálculo geodésico, supervisión estructural.</t>
  </si>
  <si>
    <t xml:space="preserve">Maestro carpintero COPR. Técnicas constructivas con madera local, ensamblaje.</t>
  </si>
  <si>
    <t xml:space="preserve">RESUMEN — HORAS Y COSTES DE LL3</t>
  </si>
  <si>
    <t xml:space="preserve">TOTAL PERSONAL LL3</t>
  </si>
  <si>
    <t xml:space="preserve">Para referencia · B.1 Viajes y dietas de LL3 (calculado en VIAJES persona-día):</t>
  </si>
  <si>
    <t xml:space="preserve">TOTAL LL3 (personal + B.1)</t>
  </si>
  <si>
    <t xml:space="preserve">LL4 · Living Lab digital · sensórica IoT + fotovoltaica + comunicaciones + volcado al SIG</t>
  </si>
  <si>
    <t xml:space="preserve">Ingeniero UPM. Configuración red LoRa, gateway, integración con cuaderno COPRODELI-IA, dashboards.</t>
  </si>
  <si>
    <t xml:space="preserve">Técnico COPR. Coordinación con electricista local certificado BT.</t>
  </si>
  <si>
    <t xml:space="preserve">Oficial UPM. Instalación física de sensores en parcela, cableado.</t>
  </si>
  <si>
    <t xml:space="preserve">Oficial COPR. Apoyo a instalación FV y montaje de antenas.</t>
  </si>
  <si>
    <t xml:space="preserve">Tutor UPM. Sensores LoRa, fotovoltaica, comunicaciones, integración SIG.</t>
  </si>
  <si>
    <t xml:space="preserve">Tutor COPR. Conexión con realidad operativa de la microexplotación.</t>
  </si>
  <si>
    <t xml:space="preserve">RESUMEN — HORAS Y COSTES DE LL4</t>
  </si>
  <si>
    <t xml:space="preserve">TOTAL PERSONAL LL4</t>
  </si>
  <si>
    <t xml:space="preserve">Para referencia · B.1 Viajes y dietas de LL4 (calculado en VIAJES persona-día):</t>
  </si>
  <si>
    <t xml:space="preserve">TOTAL LL4 (personal + B.1)</t>
  </si>
  <si>
    <t xml:space="preserve">LL5 · Ciclo productivo estacional · 4 sesiones (otoño inicio · otoño cosecha · primavera inicio · primavera cosecha)</t>
  </si>
  <si>
    <t xml:space="preserve">Ingeniero UPM. Configuración IoT seguimiento, dashboards de ciclo, integración con IA del cuaderno.</t>
  </si>
  <si>
    <t xml:space="preserve">Agrónomo COPR. Planificación de los 2 ciclos productivos (otoño + primavera), siembra, abonado, riego.</t>
  </si>
  <si>
    <t xml:space="preserve">Oficial UPM. Apoyo puntual a las 4 sesiones.</t>
  </si>
  <si>
    <t xml:space="preserve">Oficial agrícola COPR. Mantenimiento de la huerta entre sesiones.</t>
  </si>
  <si>
    <t xml:space="preserve">Tutor UPM. Lectura de datos sensores, análisis IA cuaderno, NDVI dron.</t>
  </si>
  <si>
    <t xml:space="preserve">Tutor COPR. Agronomía de la huerta morisca, cosecha, transferencia al hortelano.</t>
  </si>
  <si>
    <t xml:space="preserve">RESUMEN — HORAS Y COSTES DE LL5</t>
  </si>
  <si>
    <t xml:space="preserve">TOTAL PERSONAL LL5</t>
  </si>
  <si>
    <t xml:space="preserve">Para referencia · B.1 Viajes y dietas de LL5 (calculado en VIAJES persona-día):</t>
  </si>
  <si>
    <t xml:space="preserve">TOTAL LL5 (personal + B.1)</t>
  </si>
  <si>
    <t xml:space="preserve">LL6 · Jornada final NEB-Alcarria · resultados, AKIS y replicabilidad</t>
  </si>
  <si>
    <t xml:space="preserve">Técnico UPM. Preparación dossier final, vídeo, materiales de difusión.</t>
  </si>
  <si>
    <t xml:space="preserve">Técnico COPR. Convocatoria territorial, prensa local, autoridades.</t>
  </si>
  <si>
    <t xml:space="preserve">Oficial UPM. Montaje sala, recepción.</t>
  </si>
  <si>
    <t xml:space="preserve">Oficial COPR. Logística in-situ, manutención.</t>
  </si>
  <si>
    <t xml:space="preserve">Docente · GP1 (tutor presente todo el LL · 1d × 8h doc + 1,5× prep)</t>
  </si>
  <si>
    <t xml:space="preserve">Tutor UPM. Presentación de resultados técnicos, métricas TRL alcanzadas.</t>
  </si>
  <si>
    <t xml:space="preserve">Tutor COPR. Presentación de impacto territorial, replicabilidad.</t>
  </si>
  <si>
    <t xml:space="preserve">RESUMEN — HORAS Y COSTES DE LL6</t>
  </si>
  <si>
    <t xml:space="preserve">TOTAL PERSONAL LL6</t>
  </si>
  <si>
    <t xml:space="preserve">Para referencia · B.1 Viajes y dietas de LL6 (calculado en VIAJES persona-día):</t>
  </si>
  <si>
    <t xml:space="preserve">TOTAL LL6 (personal + B.1)</t>
  </si>
  <si>
    <t xml:space="preserve">RESUMEN GENERAL · costes por Living Lab</t>
  </si>
  <si>
    <t xml:space="preserve">Agrega las cifras de las pestañas LL0..LL6. Los costes de PERSONAL son los que están en las pestañas LLn. El B.1 viene de la hoja VIAJES (modelo persona-día).</t>
  </si>
  <si>
    <t xml:space="preserve">Título</t>
  </si>
  <si>
    <t xml:space="preserve">Edic.</t>
  </si>
  <si>
    <t xml:space="preserve">Asist.</t>
  </si>
  <si>
    <t xml:space="preserve">h UPM</t>
  </si>
  <si>
    <t xml:space="preserve">h COPR</t>
  </si>
  <si>
    <t xml:space="preserve">Coste personal</t>
  </si>
  <si>
    <t xml:space="preserve">Coste B.1</t>
  </si>
  <si>
    <t xml:space="preserve">TOTAL LL</t>
  </si>
  <si>
    <t xml:space="preserve">LL0</t>
  </si>
  <si>
    <t xml:space="preserve">LL1</t>
  </si>
  <si>
    <t xml:space="preserve">CUE+SIG · Itinerario digital del hortelano (cuaderno COPRODELI-IA + integración CUE/SIGPAC)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</si>
  <si>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</si>
  <si>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</si>
  <si>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</si>
  <si>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</si>
  <si>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</si>
  <si>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TOTAL 7 Living Labs</t>
  </si>
  <si>
    <t xml:space="preserve">Nota · Esta tabla refleja SOLO los costes desglosados por LL en las pestañas LLn (personal + B.1). El presupuesto formal del proyecto (con A.5 transversal, A.1/A.2 externos, B.2-B.7, C.1, C.2 e indirectos) sigue en la pestaña PRESUPUESTO.</t>
  </si>
  <si>
    <t xml:space="preserve">PERSONAL — A.1 · A.2 · A.3 · A.4 · A.5</t>
  </si>
  <si>
    <t xml:space="preserve">Inputs en azul. Tarifas €/h se toman de PARAMETROS. Estructura por Living Lab (LL-0..LL-6).</t>
  </si>
  <si>
    <t xml:space="preserve">A.4 · PERSONAL DE APOYO PROPIO · acondicionamiento Living Lab + integración del cuaderno COPRODELI-IA con CUE/SIEX/SIGPAC</t>
  </si>
  <si>
    <t xml:space="preserve">h GP1 UPM</t>
  </si>
  <si>
    <t xml:space="preserve">h GP1 COPR</t>
  </si>
  <si>
    <t xml:space="preserve">h GP5 UPM</t>
  </si>
  <si>
    <t xml:space="preserve">h GP5 COPR</t>
  </si>
  <si>
    <t xml:space="preserve">h Estud. UPM</t>
  </si>
  <si>
    <t xml:space="preserve">h Estud. COPR</t>
  </si>
  <si>
    <t xml:space="preserve">Coste total</t>
  </si>
  <si>
    <t xml:space="preserve">TOTAL A.4</t>
  </si>
  <si>
    <t xml:space="preserve">A.3 · PERSONAL DOCENTE PROPIO · GP1 ponentes UPM / COPRODELI · ratio preparación 1,5× sobre h impartida</t>
  </si>
  <si>
    <t xml:space="preserve">h doc UPM</t>
  </si>
  <si>
    <t xml:space="preserve">h doc COPR</t>
  </si>
  <si>
    <t xml:space="preserve">h prep UPM</t>
  </si>
  <si>
    <t xml:space="preserve">h prep COPR</t>
  </si>
  <si>
    <t xml:space="preserve">Total h UPM</t>
  </si>
  <si>
    <t xml:space="preserve">Total h COPR</t>
  </si>
  <si>
    <t xml:space="preserve">TOTAL A.3</t>
  </si>
  <si>
    <t xml:space="preserve">A.1 · PERSONAL DOCENTE EXTERNO · ponentes invitados · 90 €/h (IVA excl.)</t>
  </si>
  <si>
    <t xml:space="preserve">h ext. UPM</t>
  </si>
  <si>
    <t xml:space="preserve">h ext. COPR</t>
  </si>
  <si>
    <t xml:space="preserve">Total h</t>
  </si>
  <si>
    <t xml:space="preserve">No procede · sin ponentes externos en el proyecto</t>
  </si>
  <si>
    <t xml:space="preserve">TOTAL A.1</t>
  </si>
  <si>
    <t xml:space="preserve">A.2 · PERSONAL DE APOYO EXTERNO · subcontratados (carpintería, albañilería, electricidad) · 90 €/h</t>
  </si>
  <si>
    <t xml:space="preserve">Carpintero externo · precorte madera del domo</t>
  </si>
  <si>
    <t xml:space="preserve">Albañil externo · preinstalación de 16 anclajes</t>
  </si>
  <si>
    <t xml:space="preserve">Carpintero externo · prefijación de cubierta</t>
  </si>
  <si>
    <t xml:space="preserve">Instalador eléctrico · pre-cableado FV</t>
  </si>
  <si>
    <t xml:space="preserve">TOTAL A.2</t>
  </si>
  <si>
    <t xml:space="preserve">A.5 · PERSONAL DE COORDINACIÓN PROPIO · UPM + COPRODELI · GP1 · desglose por fase · tope 20 % directos</t>
  </si>
  <si>
    <t xml:space="preserve">Persona</t>
  </si>
  <si>
    <t xml:space="preserve">Entidad</t>
  </si>
  <si>
    <t xml:space="preserve">h/mes</t>
  </si>
  <si>
    <t xml:space="preserve">Meses</t>
  </si>
  <si>
    <t xml:space="preserve">Coordinadora UPM — P1</t>
  </si>
  <si>
    <t xml:space="preserve">Coordinadora UPM — P2</t>
  </si>
  <si>
    <t xml:space="preserve">Coordinadora COPRODELI — P1</t>
  </si>
  <si>
    <t xml:space="preserve">Coordinadora COPRODELI — P2</t>
  </si>
  <si>
    <t xml:space="preserve">TOTAL A.5</t>
  </si>
  <si>
    <t xml:space="preserve">VIAJES — B.1 · Transporte + alojamiento + manutención · modelo persona-día</t>
  </si>
  <si>
    <t xml:space="preserve">Una fila por Living Lab. Precios COPRODELI (PARAMETROS bloque E) por debajo de los topes oficiales. Manutención/aloj. cuentan persona-día; transporte cuenta vehículo-viaje I+V (vehículos COPRODELI 20 plazas).</t>
  </si>
  <si>
    <t xml:space="preserve">Días LL</t>
  </si>
  <si>
    <t xml:space="preserve">Asist. prof</t>
  </si>
  <si>
    <t xml:space="preserve">Asist. estud</t>
  </si>
  <si>
    <t xml:space="preserve">Tutor UPM</t>
  </si>
  <si>
    <t xml:space="preserve">Tutor COPR</t>
  </si>
  <si>
    <t xml:space="preserve">Viajeros (D+E+F)</t>
  </si>
  <si>
    <t xml:space="preserve">Manut. completa (pd)</t>
  </si>
  <si>
    <t xml:space="preserve">Pernoctas (pn)</t>
  </si>
  <si>
    <t xml:space="preserve">Media dieta (pd)</t>
  </si>
  <si>
    <t xml:space="preserve">Vehíc.×viajes I+V</t>
  </si>
  <si>
    <t xml:space="preserve">Manutención €</t>
  </si>
  <si>
    <t xml:space="preserve">Alojamiento €</t>
  </si>
  <si>
    <t xml:space="preserve">Transporte €</t>
  </si>
  <si>
    <t xml:space="preserve">Total €</t>
  </si>
  <si>
    <t xml:space="preserve">UPM %</t>
  </si>
  <si>
    <t xml:space="preserve">UPM €</t>
  </si>
  <si>
    <t xml:space="preserve">COPR €</t>
  </si>
  <si>
    <t xml:space="preserve">TOTAL B.1</t>
  </si>
  <si>
    <t xml:space="preserve">Subtotal P1</t>
  </si>
  <si>
    <t xml:space="preserve">Subtotal P2</t>
  </si>
  <si>
    <t xml:space="preserve">MATERIALES — B.2 · B.3 · B.4 · B.5 · B.6 · B.7</t>
  </si>
  <si>
    <t xml:space="preserve">Cada concepto con su Periodo (input azul). Topes calculados con PARAMETROS.</t>
  </si>
  <si>
    <t xml:space="preserve">Partida</t>
  </si>
  <si>
    <t xml:space="preserve">Cantidad</t>
  </si>
  <si>
    <t xml:space="preserve">€ unit.</t>
  </si>
  <si>
    <t xml:space="preserve">Tope</t>
  </si>
  <si>
    <t xml:space="preserve">% tope</t>
  </si>
  <si>
    <t xml:space="preserve">B.2</t>
  </si>
  <si>
    <t xml:space="preserve">Entornos virtuales · plataforma online complementaria (LMS de recursos y materiales)</t>
  </si>
  <si>
    <t xml:space="preserve">B.3</t>
  </si>
  <si>
    <t xml:space="preserve">Material fungible P1 · 30 participantes únicos × 35 €/u (cuadernos, USB, dossier)</t>
  </si>
  <si>
    <t xml:space="preserve">Material fungible P2 · 50 participantes únicos × 35 €/u</t>
  </si>
  <si>
    <t xml:space="preserve">B.4</t>
  </si>
  <si>
    <t xml:space="preserve">Seguros P1 · RC actividades demostrativas + accidentes</t>
  </si>
  <si>
    <t xml:space="preserve">Seguros P2 · RC actividades demostrativas + accidentes</t>
  </si>
  <si>
    <t xml:space="preserve">B.5</t>
  </si>
  <si>
    <t xml:space="preserve">Auditoría · auditor externo (1 % subvención · tope 5.000 €)</t>
  </si>
  <si>
    <t xml:space="preserve">B.6</t>
  </si>
  <si>
    <t xml:space="preserve">Alquileres P1 · salas formación, herramientas puntuales</t>
  </si>
  <si>
    <t xml:space="preserve">Alquileres P2 · andamios LL-3 (domo), herramientas LL-4 (sensórica)</t>
  </si>
  <si>
    <t xml:space="preserve">B.7</t>
  </si>
  <si>
    <t xml:space="preserve">Comunicación P1 · web, RRSS, podcast inicial</t>
  </si>
  <si>
    <t xml:space="preserve">Comunicación P2 · vídeo, roll-ups, dossier final</t>
  </si>
  <si>
    <t xml:space="preserve">TOTAL B (sin B.1)</t>
  </si>
  <si>
    <t xml:space="preserve">INVERSIONES — C.1 (amortización bienes inventariables) · C.2 (otras inversiones)</t>
  </si>
  <si>
    <t xml:space="preserve">C.1 · BIENES INVENTARIABLES — amortización en periodo subvencionable</t>
  </si>
  <si>
    <t xml:space="preserve">Coste compra</t>
  </si>
  <si>
    <t xml:space="preserve">Vida útil (m)</t>
  </si>
  <si>
    <t xml:space="preserve">Cuota P1 (7 m)</t>
  </si>
  <si>
    <t xml:space="preserve">Cuota P2 (10 m)</t>
  </si>
  <si>
    <t xml:space="preserve">Cuota total</t>
  </si>
  <si>
    <t xml:space="preserve">Dron 4K</t>
  </si>
  <si>
    <t xml:space="preserve">Cuerpo del dron 4K (proveedor distinto al de óptica multiespectral)</t>
  </si>
  <si>
    <t xml:space="preserve">LL-2 · activo UPM (drones GeoSo2). &lt; 5.000 €</t>
  </si>
  <si>
    <t xml:space="preserve">Cámara multiespectral</t>
  </si>
  <si>
    <t xml:space="preserve">Cámara multiespectral compatible con dron — sensor NDVI/NDRE</t>
  </si>
  <si>
    <t xml:space="preserve">LL-2 · activo UPM. Proveedor especializado distinto del dron. &lt; 5.000 €</t>
  </si>
  <si>
    <t xml:space="preserve">Sensores IoT</t>
  </si>
  <si>
    <t xml:space="preserve">Lote de 15 sensores LoRa humedad de suelo / meteo</t>
  </si>
  <si>
    <t xml:space="preserve">LL-4 (despliegue) + LL-5 (operación) · quedan en parcela · activo UPM. &lt; 5.000 €</t>
  </si>
  <si>
    <t xml:space="preserve">Software de cálculo de estructuras</t>
  </si>
  <si>
    <t xml:space="preserve">3 licencias anuales (IP estructural + 2 colaboradores UPM)</t>
  </si>
  <si>
    <t xml:space="preserve">LL-3 · diseño domo. 3 licencias anuales prorrateadas al periodo</t>
  </si>
  <si>
    <t xml:space="preserve">Servidor / gateway IoT</t>
  </si>
  <si>
    <t xml:space="preserve">Gateway LoRa + servidor backend (cuaderno COPRODELI-IA en producción + telemetría IoT)</t>
  </si>
  <si>
    <t xml:space="preserve">LL-1 (backend cuaderno) + LL-4 (gateway IoT) · activo UPM</t>
  </si>
  <si>
    <t xml:space="preserve">TOTAL C.1</t>
  </si>
  <si>
    <t xml:space="preserve">C.2 · OTRAS INVERSIONES — cada ítem &lt; 5.000 € (no requiere 3 ofertas en Fase I)</t>
  </si>
  <si>
    <t xml:space="preserve">Vinculación</t>
  </si>
  <si>
    <t xml:space="preserve">Cimentación domo</t>
  </si>
  <si>
    <t xml:space="preserve">Zapatas, hormigón armado, replanteo del polígono geodésico</t>
  </si>
  <si>
    <t xml:space="preserve">Listones del domo</t>
  </si>
  <si>
    <t xml:space="preserve">Madera precortada para los listones del domo (aserradero local)</t>
  </si>
  <si>
    <t xml:space="preserve">Tornillería y herramientas del domo</t>
  </si>
  <si>
    <t xml:space="preserve">Tornillería de precisión, herrajes metálicos (ferretería industrial)</t>
  </si>
  <si>
    <t xml:space="preserve">Cubierta del domo</t>
  </si>
  <si>
    <t xml:space="preserve">Cubierta exterior del domo (proveedor especializado de cubiertas técnicas)</t>
  </si>
  <si>
    <t xml:space="preserve">Aislamiento térmico del domo</t>
  </si>
  <si>
    <t xml:space="preserve">Aislamiento térmico con corcho local (bioeconomía circular)</t>
  </si>
  <si>
    <t xml:space="preserve">Aislamiento hidrófugo del domo</t>
  </si>
  <si>
    <t xml:space="preserve">Membrana hidrófuga de impermeabilización exterior</t>
  </si>
  <si>
    <t xml:space="preserve">Ventanas del domo</t>
  </si>
  <si>
    <t xml:space="preserve">Ventanas y elementos de ventilación pasiva</t>
  </si>
  <si>
    <t xml:space="preserve">Paneles fotovoltaicos</t>
  </si>
  <si>
    <t xml:space="preserve">Paneles FV bifaciales N-type 5 kW (importador especializado)</t>
  </si>
  <si>
    <t xml:space="preserve">Baterías, cableado e instalación FV</t>
  </si>
  <si>
    <t xml:space="preserve">Baterías + cableado + montaje BT (electricista local certificado)</t>
  </si>
  <si>
    <t xml:space="preserve">Conectividad satelital</t>
  </si>
  <si>
    <t xml:space="preserve">Starlink + soporte + cuotas 17 meses</t>
  </si>
  <si>
    <t xml:space="preserve">Semillas y sustratos</t>
  </si>
  <si>
    <t xml:space="preserve">Plantel y abonos · 2 ciclos productivos (otoño + primavera)</t>
  </si>
  <si>
    <t xml:space="preserve">Sensórica y comunicaciones de riego</t>
  </si>
  <si>
    <t xml:space="preserve">Sensores humedad de suelo + módulo LoRa para riego automatizado</t>
  </si>
  <si>
    <t xml:space="preserve">LL-4 + LL-5</t>
  </si>
  <si>
    <t xml:space="preserve">Material de riego</t>
  </si>
  <si>
    <t xml:space="preserve">Electroválvulas, tuberías, goteros, filtros</t>
  </si>
  <si>
    <t xml:space="preserve">TOTAL C.2</t>
  </si>
  <si>
    <t xml:space="preserve">PRESUPUESTO — desglose por fase y Living Lab</t>
  </si>
  <si>
    <t xml:space="preserve">Cada Living Lab se imputa a P1 o P2 según el periodo de su primera edición. Costes transversales (A.5, B, C, indirectos) se asignan explícitamente a cada fase.</t>
  </si>
  <si>
    <t xml:space="preserve">FASE 1 (P1) — Living Labs y costes transversales</t>
  </si>
  <si>
    <t xml:space="preserve">A.1</t>
  </si>
  <si>
    <t xml:space="preserve">A.2</t>
  </si>
  <si>
    <t xml:space="preserve">A.3</t>
  </si>
  <si>
    <t xml:space="preserve">A.4</t>
  </si>
  <si>
    <t xml:space="preserve">Subtotal personal LL</t>
  </si>
  <si>
    <t xml:space="preserve">Subtotal personal P1</t>
  </si>
  <si>
    <t xml:space="preserve">COSTES TRANSVERSALES P1</t>
  </si>
  <si>
    <t xml:space="preserve">Total</t>
  </si>
  <si>
    <t xml:space="preserve">A.5 Coordinación</t>
  </si>
  <si>
    <t xml:space="preserve">B.1 Viajes y dietas (precios COPRODELI)</t>
  </si>
  <si>
    <t xml:space="preserve">B.2 Entornos virtuales</t>
  </si>
  <si>
    <t xml:space="preserve">B.3 Material fungible</t>
  </si>
  <si>
    <t xml:space="preserve">B.4 Seguros</t>
  </si>
  <si>
    <t xml:space="preserve">B.5 Auditoría</t>
  </si>
  <si>
    <t xml:space="preserve">B.6 Alquileres</t>
  </si>
  <si>
    <t xml:space="preserve">B.7 Comunicación</t>
  </si>
  <si>
    <t xml:space="preserve">C.1 Bienes inventariables (cuota P1)</t>
  </si>
  <si>
    <t xml:space="preserve">C.2 Otras inversiones (P1)</t>
  </si>
  <si>
    <t xml:space="preserve">Costes indirectos (15 % personal directo de la fase)</t>
  </si>
  <si>
    <t xml:space="preserve">Subtotal transversales P1</t>
  </si>
  <si>
    <t xml:space="preserve">TOTAL P1</t>
  </si>
  <si>
    <t xml:space="preserve">FASE 2 (P2) — Living Labs y costes transversales</t>
  </si>
  <si>
    <t xml:space="preserve">Subtotal personal P2</t>
  </si>
  <si>
    <t xml:space="preserve">COSTES TRANSVERSALES P2</t>
  </si>
  <si>
    <t xml:space="preserve">C.1 Bienes inventariables (cuota P2)</t>
  </si>
  <si>
    <t xml:space="preserve">C.2 Otras inversiones (P2)</t>
  </si>
  <si>
    <t xml:space="preserve">Subtotal transversales P2</t>
  </si>
  <si>
    <t xml:space="preserve">TOTAL P2</t>
  </si>
  <si>
    <t xml:space="preserve">TOTAL GENERAL (P1 + P2)</t>
  </si>
  <si>
    <t xml:space="preserve">Costes directos totales (sin indirectos)</t>
  </si>
  <si>
    <t xml:space="preserve">CONTROL DE TOPES</t>
  </si>
  <si>
    <t xml:space="preserve">%</t>
  </si>
  <si>
    <t xml:space="preserve">Estado</t>
  </si>
  <si>
    <t xml:space="preserve">A.5 / directos ≤ 20 %</t>
  </si>
  <si>
    <t xml:space="preserve">B.1 / directos ≤ 40 %</t>
  </si>
  <si>
    <t xml:space="preserve">(C.1+C.2) / directos ≤ 50 %</t>
  </si>
  <si>
    <t xml:space="preserve">B.2 ≤ 5.000 €</t>
  </si>
  <si>
    <t xml:space="preserve">B.4 ≤ 1.000 €</t>
  </si>
  <si>
    <t xml:space="preserve">B.7 ≤ 1.500 €</t>
  </si>
  <si>
    <t xml:space="preserve">Total ≤ 500.000 €</t>
  </si>
  <si>
    <t xml:space="preserve">Total ≥ 70.000 €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</si>
</sst>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.0%"/>
    <numFmt numFmtId="167" formatCode="#,##0"/>
    <numFmt numFmtId="168" formatCode="#,##0.00&quot; €&quot;"/>
    <numFmt numFmtId="169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Cambria"/>
      <family val="0"/>
      <charset val="1"/>
    </font>
    <font>
      <sz val="11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305496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F4B084"/>
        <bgColor rgb="FFFF99CC"/>
      </patternFill>
    </fill>
    <fill>
      <patternFill patternType="solid">
        <fgColor rgb="FF8EA9DB"/>
        <bgColor rgb="FF999999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E699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B084"/>
        </patternFill>
      </fill>
    </dxf>
    <dxf>
      <fill>
        <patternFill>
          <bgColor rgb="FFFFFF00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E2EFDA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70"/>
    <col collapsed="false" customWidth="true" hidden="false" outlineLevel="0" max="4" min="4" style="1" width="20"/>
  </cols>
  <sheetData>
    <row r="2" customFormat="false" ht="31.5" hidden="false" customHeight="true" outlineLevel="0" collapsed="false">
      <c r="B2" s="2" t="s">
        <v>0</v>
      </c>
      <c r="C2" s="2"/>
      <c r="D2" s="2"/>
    </row>
    <row r="3" customFormat="false" ht="15" hidden="false" customHeight="true" outlineLevel="0" collapsed="false">
      <c r="B3" s="3" t="s">
        <v>1</v>
      </c>
      <c r="C3" s="3"/>
      <c r="D3" s="3"/>
    </row>
    <row r="5" customFormat="false" ht="15" hidden="false" customHeight="true" outlineLevel="0" collapsed="false">
      <c r="B5" s="4" t="s">
        <v>2</v>
      </c>
      <c r="C5" s="1" t="s">
        <v>3</v>
      </c>
    </row>
    <row r="6" customFormat="false" ht="15" hidden="false" customHeight="true" outlineLevel="0" collapsed="false">
      <c r="B6" s="4" t="s">
        <v>4</v>
      </c>
      <c r="C6" s="1" t="s">
        <v>5</v>
      </c>
    </row>
    <row r="7" customFormat="false" ht="15" hidden="false" customHeight="true" outlineLevel="0" collapsed="false">
      <c r="B7" s="4" t="s">
        <v>6</v>
      </c>
      <c r="C7" s="1" t="s">
        <v>7</v>
      </c>
    </row>
    <row r="9" customFormat="false" ht="15" hidden="false" customHeight="true" outlineLevel="0" collapsed="false">
      <c r="B9" s="5" t="s">
        <v>8</v>
      </c>
      <c r="C9" s="5"/>
      <c r="D9" s="5"/>
    </row>
    <row r="10" customFormat="false" ht="15" hidden="false" customHeight="true" outlineLevel="0" collapsed="false">
      <c r="B10" s="4" t="s">
        <v>9</v>
      </c>
      <c r="C10" s="6" t="s">
        <v>10</v>
      </c>
    </row>
    <row r="11" customFormat="false" ht="15" hidden="false" customHeight="true" outlineLevel="0" collapsed="false">
      <c r="B11" s="4" t="s">
        <v>11</v>
      </c>
      <c r="C11" s="7" t="s">
        <v>12</v>
      </c>
    </row>
    <row r="12" customFormat="false" ht="15" hidden="false" customHeight="true" outlineLevel="0" collapsed="false">
      <c r="B12" s="4" t="s">
        <v>13</v>
      </c>
      <c r="C12" s="8" t="s">
        <v>14</v>
      </c>
    </row>
    <row r="13" customFormat="false" ht="15" hidden="false" customHeight="true" outlineLevel="0" collapsed="false">
      <c r="B13" s="4" t="s">
        <v>15</v>
      </c>
      <c r="C13" s="9" t="s">
        <v>16</v>
      </c>
    </row>
    <row r="14" customFormat="false" ht="15" hidden="false" customHeight="true" outlineLevel="0" collapsed="false">
      <c r="B14" s="4" t="s">
        <v>17</v>
      </c>
      <c r="C14" s="10" t="s">
        <v>18</v>
      </c>
    </row>
    <row r="15" customFormat="false" ht="15" hidden="false" customHeight="true" outlineLevel="0" collapsed="false">
      <c r="B15" s="4" t="s">
        <v>19</v>
      </c>
      <c r="C15" s="11" t="s">
        <v>20</v>
      </c>
    </row>
    <row r="18" customFormat="false" ht="15" hidden="false" customHeight="true" outlineLevel="0" collapsed="false">
      <c r="B18" s="5" t="s">
        <v>21</v>
      </c>
      <c r="C18" s="5"/>
      <c r="D18" s="5"/>
    </row>
    <row r="19" customFormat="false" ht="15" hidden="false" customHeight="true" outlineLevel="0" collapsed="false">
      <c r="B19" s="4" t="s">
        <v>22</v>
      </c>
      <c r="C19" s="1" t="s">
        <v>23</v>
      </c>
    </row>
    <row r="20" customFormat="false" ht="15" hidden="false" customHeight="true" outlineLevel="0" collapsed="false">
      <c r="B20" s="4" t="s">
        <v>24</v>
      </c>
      <c r="C20" s="1" t="s">
        <v>25</v>
      </c>
    </row>
    <row r="21" customFormat="false" ht="15" hidden="false" customHeight="true" outlineLevel="0" collapsed="false">
      <c r="B21" s="4" t="s">
        <v>26</v>
      </c>
      <c r="C21" s="1" t="s">
        <v>27</v>
      </c>
    </row>
    <row r="22" customFormat="false" ht="15" hidden="false" customHeight="true" outlineLevel="0" collapsed="false">
      <c r="B22" s="4" t="s">
        <v>28</v>
      </c>
      <c r="C22" s="1" t="s">
        <v>29</v>
      </c>
    </row>
    <row r="23" customFormat="false" ht="15" hidden="false" customHeight="true" outlineLevel="0" collapsed="false">
      <c r="B23" s="4" t="s">
        <v>30</v>
      </c>
      <c r="C23" s="1" t="s">
        <v>31</v>
      </c>
    </row>
    <row r="24" customFormat="false" ht="15" hidden="false" customHeight="true" outlineLevel="0" collapsed="false">
      <c r="B24" s="4" t="s">
        <v>32</v>
      </c>
      <c r="C24" s="1" t="s">
        <v>33</v>
      </c>
    </row>
    <row r="25" customFormat="false" ht="15" hidden="false" customHeight="true" outlineLevel="0" collapsed="false">
      <c r="B25" s="4" t="s">
        <v>34</v>
      </c>
      <c r="C25" s="1" t="s">
        <v>35</v>
      </c>
    </row>
    <row r="26" customFormat="false" ht="15" hidden="false" customHeight="true" outlineLevel="0" collapsed="false">
      <c r="B26" s="4" t="s">
        <v>36</v>
      </c>
      <c r="C26" s="1" t="s">
        <v>37</v>
      </c>
    </row>
    <row r="30" customFormat="false" ht="15" hidden="false" customHeight="true" outlineLevel="0" collapsed="false">
      <c r="B30" s="5" t="s">
        <v>38</v>
      </c>
      <c r="C30" s="5"/>
      <c r="D30" s="5"/>
    </row>
    <row r="31" customFormat="false" ht="15" hidden="false" customHeight="true" outlineLevel="0" collapsed="false">
      <c r="B31" s="12" t="s">
        <v>39</v>
      </c>
      <c r="C31" s="12"/>
      <c r="D31" s="12"/>
    </row>
    <row r="32" customFormat="false" ht="15" hidden="false" customHeight="true" outlineLevel="0" collapsed="false">
      <c r="B32" s="12" t="s">
        <v>40</v>
      </c>
      <c r="C32" s="12"/>
      <c r="D32" s="12"/>
    </row>
    <row r="33" customFormat="false" ht="15" hidden="false" customHeight="true" outlineLevel="0" collapsed="false">
      <c r="B33" s="12" t="s">
        <v>41</v>
      </c>
      <c r="C33" s="12"/>
      <c r="D33" s="12"/>
    </row>
    <row r="34" customFormat="false" ht="15" hidden="false" customHeight="true" outlineLevel="0" collapsed="false">
      <c r="B34" s="12" t="s">
        <v>42</v>
      </c>
      <c r="C34" s="12"/>
      <c r="D34" s="12"/>
    </row>
    <row r="35" customFormat="false" ht="15" hidden="false" customHeight="true" outlineLevel="0" collapsed="false">
      <c r="B35" s="12" t="s">
        <v>43</v>
      </c>
      <c r="C35" s="12"/>
      <c r="D35" s="12"/>
    </row>
    <row r="36" customFormat="false" ht="15" hidden="false" customHeight="true" outlineLevel="0" collapsed="false">
      <c r="B36" s="12" t="s">
        <v>44</v>
      </c>
      <c r="C36" s="12"/>
      <c r="D36" s="12"/>
    </row>
  </sheetData>
  <mergeCells count="11">
    <mergeCell ref="B2:D2"/>
    <mergeCell ref="B3:D3"/>
    <mergeCell ref="B9:D9"/>
    <mergeCell ref="B18:D18"/>
    <mergeCell ref="B30:D30"/>
    <mergeCell ref="B31:D31"/>
    <mergeCell ref="B32:D32"/>
    <mergeCell ref="B33:D33"/>
    <mergeCell ref="B34:D34"/>
    <mergeCell ref="B35:D35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4" min="3" style="1" width="14"/>
    <col collapsed="false" customWidth="true" hidden="false" outlineLevel="0" max="5" min="5" style="1" width="18"/>
    <col collapsed="false" customWidth="true" hidden="false" outlineLevel="0" max="6" min="6" style="1" width="50"/>
  </cols>
  <sheetData>
    <row r="2" customFormat="false" ht="27.75" hidden="false" customHeight="true" outlineLevel="0" collapsed="false">
      <c r="B2" s="2" t="s">
        <v>45</v>
      </c>
      <c r="C2" s="2"/>
      <c r="D2" s="2"/>
      <c r="E2" s="2"/>
      <c r="F2" s="2"/>
    </row>
    <row r="3" customFormat="false" ht="15" hidden="false" customHeight="true" outlineLevel="0" collapsed="false">
      <c r="B3" s="3" t="s">
        <v>46</v>
      </c>
      <c r="C3" s="3"/>
      <c r="D3" s="3"/>
      <c r="E3" s="3"/>
      <c r="F3" s="3"/>
    </row>
    <row r="5" customFormat="false" ht="15" hidden="false" customHeight="true" outlineLevel="0" collapsed="false">
      <c r="B5" s="5" t="s">
        <v>47</v>
      </c>
      <c r="C5" s="5"/>
      <c r="D5" s="5"/>
      <c r="E5" s="5"/>
      <c r="F5" s="5"/>
    </row>
    <row r="6" customFormat="false" ht="15" hidden="false" customHeight="true" outlineLevel="0" collapsed="false">
      <c r="B6" s="13" t="s">
        <v>48</v>
      </c>
      <c r="C6" s="13" t="s">
        <v>49</v>
      </c>
      <c r="D6" s="13" t="s">
        <v>50</v>
      </c>
      <c r="E6" s="13" t="s">
        <v>51</v>
      </c>
      <c r="F6" s="13" t="s">
        <v>52</v>
      </c>
    </row>
    <row r="7" customFormat="false" ht="15" hidden="false" customHeight="true" outlineLevel="0" collapsed="false">
      <c r="B7" s="1" t="s">
        <v>53</v>
      </c>
      <c r="C7" s="14" t="n">
        <v>27.98</v>
      </c>
      <c r="D7" s="15" t="s">
        <v>54</v>
      </c>
      <c r="E7" s="15" t="s">
        <v>55</v>
      </c>
      <c r="F7" s="16" t="s">
        <v>56</v>
      </c>
    </row>
    <row r="8" customFormat="false" ht="15" hidden="false" customHeight="true" outlineLevel="0" collapsed="false">
      <c r="B8" s="1" t="s">
        <v>57</v>
      </c>
      <c r="C8" s="14" t="n">
        <v>19.62</v>
      </c>
      <c r="D8" s="15" t="s">
        <v>54</v>
      </c>
      <c r="E8" s="15" t="s">
        <v>58</v>
      </c>
      <c r="F8" s="16"/>
    </row>
    <row r="9" customFormat="false" ht="15" hidden="false" customHeight="true" outlineLevel="0" collapsed="false">
      <c r="B9" s="1" t="s">
        <v>59</v>
      </c>
      <c r="C9" s="14" t="n">
        <v>16</v>
      </c>
      <c r="D9" s="15" t="s">
        <v>54</v>
      </c>
      <c r="E9" s="15" t="s">
        <v>60</v>
      </c>
      <c r="F9" s="16"/>
    </row>
    <row r="10" customFormat="false" ht="15" hidden="false" customHeight="true" outlineLevel="0" collapsed="false">
      <c r="B10" s="1" t="s">
        <v>61</v>
      </c>
      <c r="C10" s="14" t="n">
        <v>15.73</v>
      </c>
      <c r="D10" s="15" t="s">
        <v>54</v>
      </c>
      <c r="E10" s="15" t="s">
        <v>62</v>
      </c>
      <c r="F10" s="16"/>
    </row>
    <row r="11" customFormat="false" ht="15" hidden="false" customHeight="true" outlineLevel="0" collapsed="false">
      <c r="B11" s="1" t="s">
        <v>63</v>
      </c>
      <c r="C11" s="14" t="n">
        <v>12.47</v>
      </c>
      <c r="D11" s="15" t="s">
        <v>54</v>
      </c>
      <c r="E11" s="15" t="s">
        <v>64</v>
      </c>
      <c r="F11" s="16" t="s">
        <v>65</v>
      </c>
    </row>
    <row r="12" customFormat="false" ht="15" hidden="false" customHeight="true" outlineLevel="0" collapsed="false">
      <c r="B12" s="1" t="s">
        <v>66</v>
      </c>
      <c r="C12" s="14" t="n">
        <v>22.21</v>
      </c>
      <c r="D12" s="15" t="s">
        <v>54</v>
      </c>
      <c r="E12" s="15" t="s">
        <v>67</v>
      </c>
      <c r="F12" s="16"/>
    </row>
    <row r="13" customFormat="false" ht="15" hidden="false" customHeight="true" outlineLevel="0" collapsed="false">
      <c r="B13" s="1" t="s">
        <v>68</v>
      </c>
      <c r="C13" s="14" t="n">
        <v>9.51</v>
      </c>
      <c r="D13" s="15" t="s">
        <v>54</v>
      </c>
      <c r="E13" s="15" t="s">
        <v>69</v>
      </c>
      <c r="F13" s="16"/>
    </row>
    <row r="14" customFormat="false" ht="15" hidden="false" customHeight="true" outlineLevel="0" collapsed="false">
      <c r="B14" s="1" t="s">
        <v>70</v>
      </c>
      <c r="C14" s="14" t="n">
        <v>90</v>
      </c>
      <c r="D14" s="15" t="s">
        <v>54</v>
      </c>
      <c r="E14" s="15" t="s">
        <v>71</v>
      </c>
      <c r="F14" s="16" t="s">
        <v>72</v>
      </c>
    </row>
    <row r="15" customFormat="false" ht="15" hidden="false" customHeight="true" outlineLevel="0" collapsed="false">
      <c r="B15" s="1" t="s">
        <v>73</v>
      </c>
      <c r="C15" s="14" t="n">
        <v>1720</v>
      </c>
      <c r="D15" s="15" t="s">
        <v>74</v>
      </c>
      <c r="E15" s="15" t="s">
        <v>75</v>
      </c>
      <c r="F15" s="16" t="s">
        <v>76</v>
      </c>
    </row>
    <row r="16" customFormat="false" ht="15" hidden="false" customHeight="true" outlineLevel="0" collapsed="false">
      <c r="B16" s="1" t="s">
        <v>77</v>
      </c>
      <c r="C16" s="14" t="n">
        <v>1.5</v>
      </c>
      <c r="D16" s="15" t="s">
        <v>78</v>
      </c>
      <c r="E16" s="15" t="s">
        <v>79</v>
      </c>
      <c r="F16" s="16" t="s">
        <v>80</v>
      </c>
    </row>
    <row r="19" customFormat="false" ht="15" hidden="false" customHeight="true" outlineLevel="0" collapsed="false">
      <c r="B19" s="5" t="s">
        <v>81</v>
      </c>
      <c r="C19" s="5"/>
      <c r="D19" s="5"/>
      <c r="E19" s="5"/>
      <c r="F19" s="5"/>
    </row>
    <row r="20" customFormat="false" ht="15" hidden="false" customHeight="true" outlineLevel="0" collapsed="false">
      <c r="B20" s="13" t="s">
        <v>48</v>
      </c>
      <c r="C20" s="13" t="s">
        <v>49</v>
      </c>
      <c r="D20" s="13" t="s">
        <v>50</v>
      </c>
      <c r="E20" s="13" t="s">
        <v>51</v>
      </c>
      <c r="F20" s="13" t="s">
        <v>52</v>
      </c>
    </row>
    <row r="21" customFormat="false" ht="15" hidden="false" customHeight="true" outlineLevel="0" collapsed="false">
      <c r="B21" s="1" t="s">
        <v>82</v>
      </c>
      <c r="C21" s="14" t="n">
        <v>65.97</v>
      </c>
      <c r="D21" s="1" t="s">
        <v>83</v>
      </c>
      <c r="E21" s="15" t="s">
        <v>84</v>
      </c>
      <c r="F21" s="16" t="s">
        <v>85</v>
      </c>
    </row>
    <row r="22" customFormat="false" ht="15" hidden="false" customHeight="true" outlineLevel="0" collapsed="false">
      <c r="B22" s="1" t="s">
        <v>86</v>
      </c>
      <c r="C22" s="14" t="n">
        <v>37.4</v>
      </c>
      <c r="D22" s="1" t="s">
        <v>87</v>
      </c>
      <c r="E22" s="15" t="s">
        <v>88</v>
      </c>
      <c r="F22" s="16"/>
    </row>
    <row r="23" customFormat="false" ht="15" hidden="false" customHeight="true" outlineLevel="0" collapsed="false">
      <c r="B23" s="1" t="s">
        <v>89</v>
      </c>
      <c r="C23" s="14" t="n">
        <v>18.7</v>
      </c>
      <c r="D23" s="1" t="s">
        <v>90</v>
      </c>
      <c r="E23" s="15" t="s">
        <v>91</v>
      </c>
      <c r="F23" s="16" t="s">
        <v>92</v>
      </c>
    </row>
    <row r="24" customFormat="false" ht="15" hidden="false" customHeight="true" outlineLevel="0" collapsed="false">
      <c r="B24" s="1" t="s">
        <v>93</v>
      </c>
      <c r="C24" s="14" t="n">
        <v>0.26</v>
      </c>
      <c r="D24" s="1" t="s">
        <v>94</v>
      </c>
      <c r="E24" s="15" t="s">
        <v>95</v>
      </c>
      <c r="F24" s="16"/>
    </row>
    <row r="25" customFormat="false" ht="15" hidden="false" customHeight="true" outlineLevel="0" collapsed="false">
      <c r="B25" s="1" t="s">
        <v>96</v>
      </c>
      <c r="C25" s="14" t="n">
        <v>0.106</v>
      </c>
      <c r="D25" s="1" t="s">
        <v>94</v>
      </c>
      <c r="E25" s="15" t="s">
        <v>97</v>
      </c>
      <c r="F25" s="16"/>
    </row>
    <row r="28" customFormat="false" ht="15" hidden="false" customHeight="true" outlineLevel="0" collapsed="false">
      <c r="B28" s="5" t="s">
        <v>98</v>
      </c>
      <c r="C28" s="5"/>
      <c r="D28" s="5"/>
      <c r="E28" s="5"/>
      <c r="F28" s="5"/>
    </row>
    <row r="29" customFormat="false" ht="15" hidden="false" customHeight="true" outlineLevel="0" collapsed="false">
      <c r="B29" s="13" t="s">
        <v>48</v>
      </c>
      <c r="C29" s="13" t="s">
        <v>49</v>
      </c>
      <c r="D29" s="13" t="s">
        <v>50</v>
      </c>
      <c r="E29" s="13" t="s">
        <v>51</v>
      </c>
      <c r="F29" s="13" t="s">
        <v>52</v>
      </c>
    </row>
    <row r="30" customFormat="false" ht="15" hidden="false" customHeight="true" outlineLevel="0" collapsed="false">
      <c r="B30" s="1" t="s">
        <v>99</v>
      </c>
      <c r="C30" s="14" t="n">
        <v>500000</v>
      </c>
      <c r="D30" s="1" t="s">
        <v>100</v>
      </c>
      <c r="E30" s="15" t="s">
        <v>101</v>
      </c>
      <c r="F30" s="16" t="s">
        <v>102</v>
      </c>
    </row>
    <row r="31" customFormat="false" ht="15" hidden="false" customHeight="true" outlineLevel="0" collapsed="false">
      <c r="B31" s="1" t="s">
        <v>103</v>
      </c>
      <c r="C31" s="14" t="n">
        <v>70000</v>
      </c>
      <c r="D31" s="1" t="s">
        <v>100</v>
      </c>
      <c r="E31" s="15" t="s">
        <v>104</v>
      </c>
      <c r="F31" s="16" t="s">
        <v>105</v>
      </c>
    </row>
    <row r="32" customFormat="false" ht="15" hidden="false" customHeight="true" outlineLevel="0" collapsed="false">
      <c r="B32" s="1" t="s">
        <v>106</v>
      </c>
      <c r="C32" s="17" t="n">
        <v>0.2</v>
      </c>
      <c r="D32" s="1" t="s">
        <v>78</v>
      </c>
      <c r="E32" s="15" t="s">
        <v>107</v>
      </c>
      <c r="F32" s="16" t="s">
        <v>108</v>
      </c>
    </row>
    <row r="33" customFormat="false" ht="15" hidden="false" customHeight="true" outlineLevel="0" collapsed="false">
      <c r="B33" s="1" t="s">
        <v>109</v>
      </c>
      <c r="C33" s="17" t="n">
        <v>0.4</v>
      </c>
      <c r="D33" s="1" t="s">
        <v>78</v>
      </c>
      <c r="E33" s="15" t="s">
        <v>110</v>
      </c>
      <c r="F33" s="16" t="s">
        <v>111</v>
      </c>
    </row>
    <row r="34" customFormat="false" ht="15" hidden="false" customHeight="true" outlineLevel="0" collapsed="false">
      <c r="B34" s="1" t="s">
        <v>112</v>
      </c>
      <c r="C34" s="17" t="n">
        <v>0.5</v>
      </c>
      <c r="D34" s="1" t="s">
        <v>78</v>
      </c>
      <c r="E34" s="15" t="s">
        <v>113</v>
      </c>
      <c r="F34" s="16" t="s">
        <v>114</v>
      </c>
    </row>
    <row r="35" customFormat="false" ht="15" hidden="false" customHeight="true" outlineLevel="0" collapsed="false">
      <c r="B35" s="1" t="s">
        <v>115</v>
      </c>
      <c r="C35" s="14" t="n">
        <v>40</v>
      </c>
      <c r="D35" s="1" t="s">
        <v>116</v>
      </c>
      <c r="E35" s="15" t="s">
        <v>117</v>
      </c>
      <c r="F35" s="16" t="s">
        <v>118</v>
      </c>
    </row>
    <row r="36" customFormat="false" ht="15" hidden="false" customHeight="true" outlineLevel="0" collapsed="false">
      <c r="B36" s="1" t="s">
        <v>119</v>
      </c>
      <c r="C36" s="14" t="n">
        <v>1500</v>
      </c>
      <c r="D36" s="1" t="s">
        <v>100</v>
      </c>
      <c r="E36" s="15" t="s">
        <v>120</v>
      </c>
      <c r="F36" s="16" t="s">
        <v>121</v>
      </c>
    </row>
    <row r="37" customFormat="false" ht="15" hidden="false" customHeight="true" outlineLevel="0" collapsed="false">
      <c r="B37" s="1" t="s">
        <v>122</v>
      </c>
      <c r="C37" s="14" t="n">
        <v>5000</v>
      </c>
      <c r="D37" s="1" t="s">
        <v>100</v>
      </c>
      <c r="E37" s="15" t="s">
        <v>123</v>
      </c>
      <c r="F37" s="16" t="s">
        <v>121</v>
      </c>
    </row>
    <row r="38" customFormat="false" ht="15" hidden="false" customHeight="true" outlineLevel="0" collapsed="false">
      <c r="B38" s="1" t="s">
        <v>124</v>
      </c>
      <c r="C38" s="14" t="n">
        <v>1000</v>
      </c>
      <c r="D38" s="1" t="s">
        <v>100</v>
      </c>
      <c r="E38" s="15" t="s">
        <v>125</v>
      </c>
      <c r="F38" s="16" t="s">
        <v>121</v>
      </c>
    </row>
    <row r="39" customFormat="false" ht="15" hidden="false" customHeight="true" outlineLevel="0" collapsed="false">
      <c r="B39" s="1" t="s">
        <v>126</v>
      </c>
      <c r="C39" s="14" t="n">
        <v>5000</v>
      </c>
      <c r="D39" s="1" t="s">
        <v>100</v>
      </c>
      <c r="E39" s="15" t="s">
        <v>127</v>
      </c>
      <c r="F39" s="16" t="s">
        <v>128</v>
      </c>
    </row>
    <row r="40" customFormat="false" ht="15" hidden="false" customHeight="true" outlineLevel="0" collapsed="false">
      <c r="B40" s="1" t="s">
        <v>129</v>
      </c>
      <c r="C40" s="17" t="n">
        <v>0.15</v>
      </c>
      <c r="D40" s="1" t="s">
        <v>78</v>
      </c>
      <c r="E40" s="15" t="s">
        <v>130</v>
      </c>
      <c r="F40" s="16" t="s">
        <v>131</v>
      </c>
    </row>
    <row r="41" customFormat="false" ht="15" hidden="false" customHeight="true" outlineLevel="0" collapsed="false">
      <c r="B41" s="1" t="s">
        <v>132</v>
      </c>
      <c r="C41" s="17" t="n">
        <v>1</v>
      </c>
      <c r="D41" s="1" t="s">
        <v>78</v>
      </c>
      <c r="E41" s="15" t="s">
        <v>133</v>
      </c>
      <c r="F41" s="16" t="s">
        <v>134</v>
      </c>
    </row>
    <row r="42" customFormat="false" ht="15" hidden="false" customHeight="true" outlineLevel="0" collapsed="false">
      <c r="B42" s="1" t="s">
        <v>135</v>
      </c>
      <c r="C42" s="17" t="n">
        <v>0.65</v>
      </c>
      <c r="D42" s="1" t="s">
        <v>78</v>
      </c>
      <c r="E42" s="15" t="s">
        <v>136</v>
      </c>
      <c r="F42" s="16"/>
    </row>
    <row r="43" customFormat="false" ht="15" hidden="false" customHeight="true" outlineLevel="0" collapsed="false">
      <c r="B43" s="1" t="s">
        <v>137</v>
      </c>
      <c r="C43" s="6" t="n">
        <v>1</v>
      </c>
      <c r="D43" s="1" t="s">
        <v>138</v>
      </c>
      <c r="E43" s="15" t="s">
        <v>139</v>
      </c>
      <c r="F43" s="16" t="s">
        <v>140</v>
      </c>
    </row>
    <row r="44" customFormat="false" ht="15" hidden="false" customHeight="true" outlineLevel="0" collapsed="false">
      <c r="B44" s="1" t="s">
        <v>141</v>
      </c>
      <c r="C44" s="17" t="n">
        <v>0.3</v>
      </c>
      <c r="D44" s="1" t="s">
        <v>78</v>
      </c>
      <c r="E44" s="15" t="s">
        <v>142</v>
      </c>
      <c r="F44" s="16" t="s">
        <v>143</v>
      </c>
    </row>
    <row r="45" customFormat="false" ht="15" hidden="false" customHeight="true" outlineLevel="0" collapsed="false">
      <c r="B45" s="1" t="s">
        <v>144</v>
      </c>
      <c r="C45" s="17" t="n">
        <v>0.7</v>
      </c>
      <c r="D45" s="1" t="s">
        <v>78</v>
      </c>
      <c r="E45" s="15" t="s">
        <v>145</v>
      </c>
      <c r="F45" s="16" t="s">
        <v>146</v>
      </c>
    </row>
    <row r="46" customFormat="false" ht="15" hidden="false" customHeight="true" outlineLevel="0" collapsed="false">
      <c r="B46" s="1" t="s">
        <v>147</v>
      </c>
      <c r="C46" s="14" t="n">
        <v>7</v>
      </c>
      <c r="D46" s="1" t="s">
        <v>148</v>
      </c>
      <c r="E46" s="15" t="s">
        <v>138</v>
      </c>
      <c r="F46" s="16" t="s">
        <v>149</v>
      </c>
    </row>
    <row r="47" customFormat="false" ht="15" hidden="false" customHeight="true" outlineLevel="0" collapsed="false">
      <c r="B47" s="1" t="s">
        <v>150</v>
      </c>
      <c r="C47" s="14" t="n">
        <v>10</v>
      </c>
      <c r="D47" s="1" t="s">
        <v>148</v>
      </c>
      <c r="E47" s="15" t="s">
        <v>138</v>
      </c>
      <c r="F47" s="16" t="s">
        <v>151</v>
      </c>
    </row>
    <row r="48" customFormat="false" ht="15" hidden="false" customHeight="true" outlineLevel="0" collapsed="false">
      <c r="B48" s="1" t="s">
        <v>152</v>
      </c>
      <c r="C48" s="18" t="n">
        <f aca="false">C46+C47</f>
        <v>17</v>
      </c>
      <c r="D48" s="1" t="s">
        <v>148</v>
      </c>
      <c r="E48" s="15" t="s">
        <v>138</v>
      </c>
      <c r="F48" s="16" t="s">
        <v>153</v>
      </c>
    </row>
    <row r="49" customFormat="false" ht="15" hidden="false" customHeight="true" outlineLevel="0" collapsed="false">
      <c r="B49" s="5" t="s">
        <v>154</v>
      </c>
      <c r="C49" s="5"/>
      <c r="D49" s="5"/>
      <c r="E49" s="5"/>
      <c r="F49" s="5"/>
    </row>
    <row r="50" customFormat="false" ht="15" hidden="false" customHeight="true" outlineLevel="0" collapsed="false">
      <c r="B50" s="13" t="s">
        <v>48</v>
      </c>
      <c r="C50" s="13" t="s">
        <v>49</v>
      </c>
      <c r="D50" s="13" t="s">
        <v>50</v>
      </c>
      <c r="E50" s="13" t="s">
        <v>155</v>
      </c>
      <c r="F50" s="13" t="s">
        <v>52</v>
      </c>
    </row>
    <row r="51" customFormat="false" ht="15" hidden="false" customHeight="true" outlineLevel="0" collapsed="false">
      <c r="B51" s="1" t="s">
        <v>156</v>
      </c>
      <c r="C51" s="19" t="n">
        <v>110</v>
      </c>
      <c r="D51" s="1" t="s">
        <v>157</v>
      </c>
      <c r="E51" s="15" t="s">
        <v>138</v>
      </c>
      <c r="F51" s="16" t="s">
        <v>158</v>
      </c>
    </row>
    <row r="52" customFormat="false" ht="15" hidden="false" customHeight="true" outlineLevel="0" collapsed="false">
      <c r="B52" s="1" t="s">
        <v>159</v>
      </c>
      <c r="C52" s="19" t="n">
        <v>700</v>
      </c>
      <c r="D52" s="1" t="s">
        <v>160</v>
      </c>
      <c r="E52" s="15" t="s">
        <v>138</v>
      </c>
      <c r="F52" s="16" t="s">
        <v>161</v>
      </c>
    </row>
    <row r="53" customFormat="false" ht="15" hidden="false" customHeight="true" outlineLevel="0" collapsed="false">
      <c r="B53" s="1" t="s">
        <v>162</v>
      </c>
      <c r="C53" s="19" t="n">
        <v>50</v>
      </c>
      <c r="D53" s="1" t="s">
        <v>163</v>
      </c>
      <c r="E53" s="15" t="s">
        <v>138</v>
      </c>
      <c r="F53" s="16"/>
    </row>
    <row r="55" customFormat="false" ht="15" hidden="false" customHeight="true" outlineLevel="0" collapsed="false">
      <c r="B55" s="5" t="s">
        <v>164</v>
      </c>
      <c r="C55" s="5"/>
      <c r="D55" s="5"/>
      <c r="E55" s="5"/>
      <c r="F55" s="5"/>
    </row>
    <row r="56" customFormat="false" ht="15" hidden="false" customHeight="true" outlineLevel="0" collapsed="false">
      <c r="B56" s="13" t="s">
        <v>48</v>
      </c>
      <c r="C56" s="13" t="s">
        <v>49</v>
      </c>
      <c r="D56" s="13" t="s">
        <v>50</v>
      </c>
      <c r="E56" s="13" t="s">
        <v>155</v>
      </c>
      <c r="F56" s="13" t="s">
        <v>52</v>
      </c>
    </row>
    <row r="57" customFormat="false" ht="15" hidden="false" customHeight="true" outlineLevel="0" collapsed="false">
      <c r="B57" s="1" t="s">
        <v>165</v>
      </c>
      <c r="C57" s="14" t="n">
        <v>55</v>
      </c>
      <c r="D57" s="1" t="s">
        <v>166</v>
      </c>
      <c r="E57" s="15" t="s">
        <v>138</v>
      </c>
      <c r="F57" s="16" t="s">
        <v>167</v>
      </c>
    </row>
    <row r="58" customFormat="false" ht="15" hidden="false" customHeight="true" outlineLevel="0" collapsed="false">
      <c r="B58" s="1" t="s">
        <v>168</v>
      </c>
      <c r="C58" s="14" t="n">
        <v>30</v>
      </c>
      <c r="D58" s="1" t="s">
        <v>160</v>
      </c>
      <c r="E58" s="15" t="s">
        <v>138</v>
      </c>
      <c r="F58" s="16" t="s">
        <v>169</v>
      </c>
    </row>
    <row r="59" customFormat="false" ht="15" hidden="false" customHeight="true" outlineLevel="0" collapsed="false">
      <c r="B59" s="1" t="s">
        <v>170</v>
      </c>
      <c r="C59" s="14" t="n">
        <v>15</v>
      </c>
      <c r="D59" s="1" t="s">
        <v>171</v>
      </c>
      <c r="E59" s="15" t="s">
        <v>138</v>
      </c>
      <c r="F59" s="16" t="s">
        <v>172</v>
      </c>
    </row>
    <row r="60" customFormat="false" ht="15" hidden="false" customHeight="true" outlineLevel="0" collapsed="false">
      <c r="B60" s="1" t="s">
        <v>173</v>
      </c>
      <c r="C60" s="19" t="n">
        <v>20</v>
      </c>
      <c r="D60" s="1" t="s">
        <v>163</v>
      </c>
      <c r="E60" s="15" t="s">
        <v>138</v>
      </c>
      <c r="F60" s="16" t="s">
        <v>174</v>
      </c>
    </row>
    <row r="61" customFormat="false" ht="15" hidden="false" customHeight="true" outlineLevel="0" collapsed="false">
      <c r="B61" s="1" t="s">
        <v>175</v>
      </c>
      <c r="C61" s="19" t="n">
        <v>4</v>
      </c>
      <c r="D61" s="1" t="s">
        <v>176</v>
      </c>
      <c r="E61" s="15" t="s">
        <v>138</v>
      </c>
      <c r="F61" s="16" t="s">
        <v>177</v>
      </c>
    </row>
  </sheetData>
  <mergeCells count="7">
    <mergeCell ref="B2:F2"/>
    <mergeCell ref="B3:F3"/>
    <mergeCell ref="B5:F5"/>
    <mergeCell ref="B19:F19"/>
    <mergeCell ref="B28:F28"/>
    <mergeCell ref="B49:F49"/>
    <mergeCell ref="B55:F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60"/>
    <col collapsed="false" customWidth="true" hidden="false" outlineLevel="0" max="5" min="5" style="1" width="28"/>
    <col collapsed="false" customWidth="true" hidden="false" outlineLevel="0" max="6" min="6" style="1" width="22"/>
    <col collapsed="false" customWidth="true" hidden="false" outlineLevel="0" max="7" min="7" style="1" width="35"/>
  </cols>
  <sheetData>
    <row r="1" customFormat="false" ht="27.75" hidden="false" customHeight="true" outlineLevel="0" collapsed="false">
      <c r="A1" s="2" t="s">
        <v>178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179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3" t="s">
        <v>155</v>
      </c>
      <c r="B4" s="13" t="s">
        <v>48</v>
      </c>
      <c r="C4" s="13" t="s">
        <v>49</v>
      </c>
      <c r="D4" s="13" t="s">
        <v>180</v>
      </c>
      <c r="E4" s="13" t="s">
        <v>181</v>
      </c>
      <c r="F4" s="13" t="s">
        <v>182</v>
      </c>
      <c r="G4" s="13" t="s">
        <v>52</v>
      </c>
    </row>
    <row r="5" customFormat="false" ht="34.5" hidden="false" customHeight="true" outlineLevel="0" collapsed="false">
      <c r="A5" s="20" t="s">
        <v>55</v>
      </c>
      <c r="B5" s="21" t="s">
        <v>183</v>
      </c>
      <c r="C5" s="21" t="s">
        <v>184</v>
      </c>
      <c r="D5" s="22" t="s">
        <v>185</v>
      </c>
      <c r="E5" s="21" t="s">
        <v>186</v>
      </c>
      <c r="F5" s="21" t="s">
        <v>187</v>
      </c>
      <c r="G5" s="21" t="s">
        <v>188</v>
      </c>
    </row>
    <row r="6" customFormat="false" ht="23.25" hidden="false" customHeight="true" outlineLevel="0" collapsed="false">
      <c r="A6" s="23" t="s">
        <v>58</v>
      </c>
      <c r="B6" s="24" t="s">
        <v>189</v>
      </c>
      <c r="C6" s="24" t="s">
        <v>190</v>
      </c>
      <c r="D6" s="25" t="s">
        <v>191</v>
      </c>
      <c r="E6" s="24" t="s">
        <v>192</v>
      </c>
      <c r="F6" s="24" t="s">
        <v>192</v>
      </c>
      <c r="G6" s="24" t="s">
        <v>193</v>
      </c>
    </row>
    <row r="7" customFormat="false" ht="23.25" hidden="false" customHeight="true" outlineLevel="0" collapsed="false">
      <c r="A7" s="20" t="s">
        <v>60</v>
      </c>
      <c r="B7" s="21" t="s">
        <v>194</v>
      </c>
      <c r="C7" s="21" t="s">
        <v>195</v>
      </c>
      <c r="D7" s="22" t="s">
        <v>196</v>
      </c>
      <c r="E7" s="21" t="s">
        <v>192</v>
      </c>
      <c r="F7" s="21" t="s">
        <v>192</v>
      </c>
      <c r="G7" s="21" t="s">
        <v>197</v>
      </c>
    </row>
    <row r="8" customFormat="false" ht="15" hidden="false" customHeight="true" outlineLevel="0" collapsed="false">
      <c r="A8" s="23" t="s">
        <v>62</v>
      </c>
      <c r="B8" s="24" t="s">
        <v>198</v>
      </c>
      <c r="C8" s="24" t="s">
        <v>199</v>
      </c>
      <c r="D8" s="25" t="s">
        <v>200</v>
      </c>
      <c r="E8" s="24" t="s">
        <v>192</v>
      </c>
      <c r="F8" s="24" t="s">
        <v>192</v>
      </c>
      <c r="G8" s="24" t="s">
        <v>201</v>
      </c>
    </row>
    <row r="9" customFormat="false" ht="15" hidden="false" customHeight="true" outlineLevel="0" collapsed="false">
      <c r="A9" s="20" t="s">
        <v>64</v>
      </c>
      <c r="B9" s="21" t="s">
        <v>202</v>
      </c>
      <c r="C9" s="21" t="s">
        <v>203</v>
      </c>
      <c r="D9" s="22" t="s">
        <v>204</v>
      </c>
      <c r="E9" s="21" t="s">
        <v>192</v>
      </c>
      <c r="F9" s="21" t="s">
        <v>192</v>
      </c>
      <c r="G9" s="21" t="s">
        <v>205</v>
      </c>
    </row>
    <row r="10" customFormat="false" ht="23.25" hidden="false" customHeight="true" outlineLevel="0" collapsed="false">
      <c r="A10" s="23" t="s">
        <v>67</v>
      </c>
      <c r="B10" s="24" t="s">
        <v>66</v>
      </c>
      <c r="C10" s="24" t="s">
        <v>206</v>
      </c>
      <c r="D10" s="25" t="s">
        <v>207</v>
      </c>
      <c r="E10" s="24" t="s">
        <v>192</v>
      </c>
      <c r="F10" s="24" t="s">
        <v>192</v>
      </c>
      <c r="G10" s="24" t="s">
        <v>208</v>
      </c>
    </row>
    <row r="11" customFormat="false" ht="15" hidden="false" customHeight="true" outlineLevel="0" collapsed="false">
      <c r="A11" s="20" t="s">
        <v>69</v>
      </c>
      <c r="B11" s="21" t="s">
        <v>68</v>
      </c>
      <c r="C11" s="21" t="s">
        <v>209</v>
      </c>
      <c r="D11" s="22" t="s">
        <v>210</v>
      </c>
      <c r="E11" s="21" t="s">
        <v>192</v>
      </c>
      <c r="F11" s="21" t="s">
        <v>192</v>
      </c>
      <c r="G11" s="21"/>
    </row>
    <row r="12" customFormat="false" ht="23.25" hidden="false" customHeight="true" outlineLevel="0" collapsed="false">
      <c r="A12" s="23" t="s">
        <v>71</v>
      </c>
      <c r="B12" s="24" t="s">
        <v>211</v>
      </c>
      <c r="C12" s="24" t="s">
        <v>212</v>
      </c>
      <c r="D12" s="25" t="s">
        <v>213</v>
      </c>
      <c r="E12" s="24" t="s">
        <v>214</v>
      </c>
      <c r="F12" s="24" t="s">
        <v>215</v>
      </c>
      <c r="G12" s="24" t="s">
        <v>216</v>
      </c>
    </row>
    <row r="13" customFormat="false" ht="15" hidden="false" customHeight="true" outlineLevel="0" collapsed="false">
      <c r="A13" s="20" t="s">
        <v>75</v>
      </c>
      <c r="B13" s="21" t="s">
        <v>217</v>
      </c>
      <c r="C13" s="21" t="s">
        <v>218</v>
      </c>
      <c r="D13" s="22" t="s">
        <v>219</v>
      </c>
      <c r="E13" s="21" t="s">
        <v>220</v>
      </c>
      <c r="F13" s="21" t="s">
        <v>221</v>
      </c>
      <c r="G13" s="21" t="s">
        <v>222</v>
      </c>
    </row>
    <row r="14" customFormat="false" ht="23.25" hidden="false" customHeight="true" outlineLevel="0" collapsed="false">
      <c r="A14" s="23" t="s">
        <v>79</v>
      </c>
      <c r="B14" s="24" t="s">
        <v>223</v>
      </c>
      <c r="C14" s="24" t="s">
        <v>224</v>
      </c>
      <c r="D14" s="25" t="s">
        <v>225</v>
      </c>
      <c r="E14" s="24" t="s">
        <v>226</v>
      </c>
      <c r="F14" s="24" t="s">
        <v>215</v>
      </c>
      <c r="G14" s="24" t="s">
        <v>227</v>
      </c>
    </row>
    <row r="15" customFormat="false" ht="23.25" hidden="false" customHeight="true" outlineLevel="0" collapsed="false">
      <c r="A15" s="20" t="s">
        <v>84</v>
      </c>
      <c r="B15" s="21" t="s">
        <v>82</v>
      </c>
      <c r="C15" s="21" t="s">
        <v>228</v>
      </c>
      <c r="D15" s="22" t="s">
        <v>229</v>
      </c>
      <c r="E15" s="21" t="s">
        <v>230</v>
      </c>
      <c r="F15" s="21" t="s">
        <v>231</v>
      </c>
      <c r="G15" s="21" t="s">
        <v>232</v>
      </c>
    </row>
    <row r="16" customFormat="false" ht="15" hidden="false" customHeight="true" outlineLevel="0" collapsed="false">
      <c r="A16" s="23" t="s">
        <v>88</v>
      </c>
      <c r="B16" s="24" t="s">
        <v>86</v>
      </c>
      <c r="C16" s="24" t="s">
        <v>233</v>
      </c>
      <c r="D16" s="25" t="s">
        <v>234</v>
      </c>
      <c r="E16" s="24" t="s">
        <v>230</v>
      </c>
      <c r="F16" s="24" t="s">
        <v>215</v>
      </c>
      <c r="G16" s="24"/>
    </row>
    <row r="17" customFormat="false" ht="23.25" hidden="false" customHeight="true" outlineLevel="0" collapsed="false">
      <c r="A17" s="20" t="s">
        <v>91</v>
      </c>
      <c r="B17" s="21" t="s">
        <v>235</v>
      </c>
      <c r="C17" s="21" t="s">
        <v>236</v>
      </c>
      <c r="D17" s="22" t="s">
        <v>237</v>
      </c>
      <c r="E17" s="21" t="s">
        <v>230</v>
      </c>
      <c r="F17" s="21" t="s">
        <v>238</v>
      </c>
      <c r="G17" s="21" t="s">
        <v>239</v>
      </c>
    </row>
    <row r="18" customFormat="false" ht="15" hidden="false" customHeight="true" outlineLevel="0" collapsed="false">
      <c r="A18" s="23" t="s">
        <v>95</v>
      </c>
      <c r="B18" s="24" t="s">
        <v>240</v>
      </c>
      <c r="C18" s="24" t="s">
        <v>241</v>
      </c>
      <c r="D18" s="25" t="s">
        <v>242</v>
      </c>
      <c r="E18" s="24" t="s">
        <v>243</v>
      </c>
      <c r="F18" s="24" t="s">
        <v>215</v>
      </c>
      <c r="G18" s="24"/>
    </row>
    <row r="19" customFormat="false" ht="15" hidden="false" customHeight="true" outlineLevel="0" collapsed="false">
      <c r="A19" s="20" t="s">
        <v>97</v>
      </c>
      <c r="B19" s="21" t="s">
        <v>244</v>
      </c>
      <c r="C19" s="21" t="s">
        <v>245</v>
      </c>
      <c r="D19" s="22" t="s">
        <v>246</v>
      </c>
      <c r="E19" s="21" t="s">
        <v>243</v>
      </c>
      <c r="F19" s="21" t="s">
        <v>215</v>
      </c>
      <c r="G19" s="21"/>
    </row>
    <row r="20" customFormat="false" ht="15" hidden="false" customHeight="true" outlineLevel="0" collapsed="false">
      <c r="A20" s="23" t="s">
        <v>101</v>
      </c>
      <c r="B20" s="24" t="s">
        <v>99</v>
      </c>
      <c r="C20" s="24" t="s">
        <v>247</v>
      </c>
      <c r="D20" s="25" t="s">
        <v>248</v>
      </c>
      <c r="E20" s="24" t="s">
        <v>215</v>
      </c>
      <c r="F20" s="24" t="s">
        <v>249</v>
      </c>
      <c r="G20" s="24"/>
    </row>
    <row r="21" customFormat="false" ht="21.75" hidden="false" customHeight="true" outlineLevel="0" collapsed="false">
      <c r="A21" s="20" t="s">
        <v>104</v>
      </c>
      <c r="B21" s="21" t="s">
        <v>250</v>
      </c>
      <c r="C21" s="21" t="s">
        <v>251</v>
      </c>
      <c r="D21" s="22" t="s">
        <v>252</v>
      </c>
      <c r="E21" s="21" t="s">
        <v>215</v>
      </c>
      <c r="F21" s="21" t="s">
        <v>249</v>
      </c>
      <c r="G21" s="21" t="s">
        <v>253</v>
      </c>
    </row>
    <row r="22" customFormat="false" ht="21.75" hidden="false" customHeight="true" outlineLevel="0" collapsed="false">
      <c r="A22" s="23" t="s">
        <v>107</v>
      </c>
      <c r="B22" s="24" t="s">
        <v>254</v>
      </c>
      <c r="C22" s="24" t="s">
        <v>255</v>
      </c>
      <c r="D22" s="25" t="s">
        <v>256</v>
      </c>
      <c r="E22" s="24" t="s">
        <v>257</v>
      </c>
      <c r="F22" s="24" t="s">
        <v>215</v>
      </c>
      <c r="G22" s="24"/>
    </row>
    <row r="23" customFormat="false" ht="23.25" hidden="false" customHeight="true" outlineLevel="0" collapsed="false">
      <c r="A23" s="20" t="s">
        <v>110</v>
      </c>
      <c r="B23" s="21" t="s">
        <v>258</v>
      </c>
      <c r="C23" s="21" t="s">
        <v>259</v>
      </c>
      <c r="D23" s="22" t="s">
        <v>260</v>
      </c>
      <c r="E23" s="21" t="s">
        <v>261</v>
      </c>
      <c r="F23" s="21" t="s">
        <v>215</v>
      </c>
      <c r="G23" s="21" t="s">
        <v>262</v>
      </c>
    </row>
    <row r="24" customFormat="false" ht="23.25" hidden="false" customHeight="true" outlineLevel="0" collapsed="false">
      <c r="A24" s="23" t="s">
        <v>113</v>
      </c>
      <c r="B24" s="24" t="s">
        <v>263</v>
      </c>
      <c r="C24" s="24" t="s">
        <v>264</v>
      </c>
      <c r="D24" s="25" t="s">
        <v>265</v>
      </c>
      <c r="E24" s="24" t="s">
        <v>266</v>
      </c>
      <c r="F24" s="24" t="s">
        <v>267</v>
      </c>
      <c r="G24" s="24" t="s">
        <v>268</v>
      </c>
    </row>
    <row r="25" customFormat="false" ht="23.25" hidden="false" customHeight="true" outlineLevel="0" collapsed="false">
      <c r="A25" s="20" t="s">
        <v>117</v>
      </c>
      <c r="B25" s="21" t="s">
        <v>269</v>
      </c>
      <c r="C25" s="21" t="s">
        <v>270</v>
      </c>
      <c r="D25" s="22" t="s">
        <v>271</v>
      </c>
      <c r="E25" s="21" t="s">
        <v>261</v>
      </c>
      <c r="F25" s="21" t="s">
        <v>215</v>
      </c>
      <c r="G25" s="21" t="s">
        <v>272</v>
      </c>
    </row>
    <row r="26" customFormat="false" ht="15" hidden="false" customHeight="true" outlineLevel="0" collapsed="false">
      <c r="A26" s="23" t="s">
        <v>120</v>
      </c>
      <c r="B26" s="24" t="s">
        <v>119</v>
      </c>
      <c r="C26" s="24" t="s">
        <v>273</v>
      </c>
      <c r="D26" s="25" t="s">
        <v>274</v>
      </c>
      <c r="E26" s="24" t="s">
        <v>275</v>
      </c>
      <c r="F26" s="24" t="s">
        <v>215</v>
      </c>
      <c r="G26" s="24" t="s">
        <v>276</v>
      </c>
    </row>
    <row r="27" customFormat="false" ht="15" hidden="false" customHeight="true" outlineLevel="0" collapsed="false">
      <c r="A27" s="20" t="s">
        <v>123</v>
      </c>
      <c r="B27" s="21" t="s">
        <v>122</v>
      </c>
      <c r="C27" s="21" t="s">
        <v>277</v>
      </c>
      <c r="D27" s="22" t="s">
        <v>278</v>
      </c>
      <c r="E27" s="21" t="s">
        <v>215</v>
      </c>
      <c r="F27" s="21"/>
      <c r="G27" s="21"/>
    </row>
    <row r="28" customFormat="false" ht="15" hidden="false" customHeight="true" outlineLevel="0" collapsed="false">
      <c r="A28" s="23" t="s">
        <v>125</v>
      </c>
      <c r="B28" s="24" t="s">
        <v>124</v>
      </c>
      <c r="C28" s="24" t="s">
        <v>279</v>
      </c>
      <c r="D28" s="25" t="s">
        <v>280</v>
      </c>
      <c r="E28" s="24" t="s">
        <v>215</v>
      </c>
      <c r="F28" s="24" t="s">
        <v>281</v>
      </c>
      <c r="G28" s="24"/>
    </row>
    <row r="29" customFormat="false" ht="23.25" hidden="false" customHeight="true" outlineLevel="0" collapsed="false">
      <c r="A29" s="20" t="s">
        <v>127</v>
      </c>
      <c r="B29" s="21" t="s">
        <v>126</v>
      </c>
      <c r="C29" s="21" t="s">
        <v>282</v>
      </c>
      <c r="D29" s="22" t="s">
        <v>283</v>
      </c>
      <c r="E29" s="21" t="s">
        <v>215</v>
      </c>
      <c r="F29" s="21"/>
      <c r="G29" s="21"/>
    </row>
    <row r="30" customFormat="false" ht="23.25" hidden="false" customHeight="true" outlineLevel="0" collapsed="false">
      <c r="A30" s="23" t="s">
        <v>130</v>
      </c>
      <c r="B30" s="24" t="s">
        <v>284</v>
      </c>
      <c r="C30" s="24" t="s">
        <v>285</v>
      </c>
      <c r="D30" s="25" t="s">
        <v>286</v>
      </c>
      <c r="E30" s="24" t="s">
        <v>287</v>
      </c>
      <c r="F30" s="24" t="s">
        <v>215</v>
      </c>
      <c r="G30" s="24" t="s">
        <v>288</v>
      </c>
    </row>
    <row r="31" customFormat="false" ht="15" hidden="false" customHeight="true" outlineLevel="0" collapsed="false">
      <c r="A31" s="20" t="s">
        <v>133</v>
      </c>
      <c r="B31" s="21" t="s">
        <v>289</v>
      </c>
      <c r="C31" s="21" t="s">
        <v>290</v>
      </c>
      <c r="D31" s="22" t="s">
        <v>291</v>
      </c>
      <c r="E31" s="21" t="s">
        <v>215</v>
      </c>
      <c r="F31" s="21" t="s">
        <v>249</v>
      </c>
      <c r="G31" s="21"/>
    </row>
    <row r="32" customFormat="false" ht="15" hidden="false" customHeight="true" outlineLevel="0" collapsed="false">
      <c r="A32" s="23" t="s">
        <v>136</v>
      </c>
      <c r="B32" s="24" t="s">
        <v>292</v>
      </c>
      <c r="C32" s="24" t="s">
        <v>293</v>
      </c>
      <c r="D32" s="25" t="s">
        <v>294</v>
      </c>
      <c r="E32" s="24" t="s">
        <v>266</v>
      </c>
      <c r="F32" s="24" t="s">
        <v>215</v>
      </c>
      <c r="G32" s="24"/>
    </row>
    <row r="33" customFormat="false" ht="34.5" hidden="false" customHeight="true" outlineLevel="0" collapsed="false">
      <c r="A33" s="20" t="s">
        <v>139</v>
      </c>
      <c r="B33" s="21" t="s">
        <v>295</v>
      </c>
      <c r="C33" s="21" t="s">
        <v>296</v>
      </c>
      <c r="D33" s="22" t="s">
        <v>297</v>
      </c>
      <c r="E33" s="21" t="s">
        <v>298</v>
      </c>
      <c r="F33" s="21" t="s">
        <v>249</v>
      </c>
      <c r="G33" s="21"/>
    </row>
    <row r="34" customFormat="false" ht="21.75" hidden="false" customHeight="true" outlineLevel="0" collapsed="false">
      <c r="A34" s="23" t="s">
        <v>142</v>
      </c>
      <c r="B34" s="24" t="s">
        <v>299</v>
      </c>
      <c r="C34" s="24" t="s">
        <v>300</v>
      </c>
      <c r="D34" s="25" t="s">
        <v>301</v>
      </c>
      <c r="E34" s="24" t="s">
        <v>215</v>
      </c>
      <c r="F34" s="24" t="s">
        <v>249</v>
      </c>
      <c r="G34" s="24" t="s">
        <v>302</v>
      </c>
    </row>
    <row r="35" customFormat="false" ht="23.25" hidden="false" customHeight="true" outlineLevel="0" collapsed="false">
      <c r="A35" s="20" t="s">
        <v>303</v>
      </c>
      <c r="B35" s="21" t="s">
        <v>304</v>
      </c>
      <c r="C35" s="21" t="s">
        <v>138</v>
      </c>
      <c r="D35" s="22" t="s">
        <v>305</v>
      </c>
      <c r="E35" s="21" t="s">
        <v>220</v>
      </c>
      <c r="F35" s="21" t="s">
        <v>221</v>
      </c>
      <c r="G35" s="21" t="s">
        <v>306</v>
      </c>
    </row>
    <row r="36" customFormat="false" ht="15" hidden="false" customHeight="true" outlineLevel="0" collapsed="false">
      <c r="A36" s="23" t="s">
        <v>307</v>
      </c>
      <c r="B36" s="24" t="s">
        <v>308</v>
      </c>
      <c r="C36" s="24" t="s">
        <v>236</v>
      </c>
      <c r="D36" s="25" t="s">
        <v>309</v>
      </c>
      <c r="E36" s="24" t="s">
        <v>310</v>
      </c>
      <c r="F36" s="24" t="s">
        <v>221</v>
      </c>
      <c r="G36" s="24"/>
    </row>
    <row r="37" customFormat="false" ht="23.25" hidden="false" customHeight="true" outlineLevel="0" collapsed="false">
      <c r="A37" s="20" t="s">
        <v>311</v>
      </c>
      <c r="B37" s="21" t="s">
        <v>312</v>
      </c>
      <c r="C37" s="21" t="s">
        <v>138</v>
      </c>
      <c r="D37" s="22" t="s">
        <v>313</v>
      </c>
      <c r="E37" s="21" t="s">
        <v>314</v>
      </c>
      <c r="F37" s="21" t="s">
        <v>315</v>
      </c>
      <c r="G37" s="21" t="s">
        <v>316</v>
      </c>
    </row>
    <row r="38" customFormat="false" ht="23.25" hidden="false" customHeight="true" outlineLevel="0" collapsed="false">
      <c r="A38" s="23" t="s">
        <v>317</v>
      </c>
      <c r="B38" s="24" t="s">
        <v>318</v>
      </c>
      <c r="C38" s="24" t="s">
        <v>138</v>
      </c>
      <c r="D38" s="25" t="s">
        <v>319</v>
      </c>
      <c r="E38" s="24" t="s">
        <v>249</v>
      </c>
      <c r="F38" s="24"/>
      <c r="G38" s="24"/>
    </row>
    <row r="39" customFormat="false" ht="15" hidden="false" customHeight="true" outlineLevel="0" collapsed="false">
      <c r="A39" s="20" t="s">
        <v>320</v>
      </c>
      <c r="B39" s="21" t="s">
        <v>321</v>
      </c>
      <c r="C39" s="21" t="s">
        <v>322</v>
      </c>
      <c r="D39" s="22" t="s">
        <v>323</v>
      </c>
      <c r="E39" s="21" t="s">
        <v>324</v>
      </c>
      <c r="F39" s="21" t="s">
        <v>249</v>
      </c>
      <c r="G39" s="21"/>
    </row>
    <row r="40" customFormat="false" ht="23.25" hidden="false" customHeight="true" outlineLevel="0" collapsed="false">
      <c r="A40" s="23" t="s">
        <v>325</v>
      </c>
      <c r="B40" s="24" t="s">
        <v>326</v>
      </c>
      <c r="C40" s="24" t="s">
        <v>138</v>
      </c>
      <c r="D40" s="25" t="s">
        <v>327</v>
      </c>
      <c r="E40" s="24" t="s">
        <v>328</v>
      </c>
      <c r="F40" s="24" t="s">
        <v>215</v>
      </c>
      <c r="G40" s="24" t="s">
        <v>329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70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8" min="6" style="1" width="14"/>
    <col collapsed="false" customWidth="true" hidden="false" outlineLevel="0" max="9" min="9" style="1" width="10"/>
    <col collapsed="false" customWidth="true" hidden="false" outlineLevel="0" max="10" min="10" style="1" width="26"/>
  </cols>
  <sheetData>
    <row r="1" customFormat="false" ht="25.5" hidden="false" customHeight="true" outlineLevel="0" collapsed="false">
      <c r="A1" s="26" t="s">
        <v>330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5" hidden="false" customHeight="true" outlineLevel="0" collapsed="false">
      <c r="A2" s="28" t="s">
        <v>331</v>
      </c>
      <c r="B2" s="27"/>
      <c r="C2" s="27"/>
      <c r="D2" s="27"/>
      <c r="E2" s="27"/>
      <c r="F2" s="27"/>
      <c r="G2" s="27"/>
      <c r="H2" s="27"/>
      <c r="I2" s="27"/>
      <c r="J2" s="27"/>
    </row>
    <row r="3" customFormat="false" ht="15" hidden="false" customHeight="tru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27"/>
    </row>
    <row r="4" customFormat="false" ht="23.25" hidden="false" customHeight="true" outlineLevel="0" collapsed="false">
      <c r="A4" s="29" t="s">
        <v>332</v>
      </c>
      <c r="B4" s="29" t="s">
        <v>333</v>
      </c>
      <c r="C4" s="29" t="s">
        <v>334</v>
      </c>
      <c r="D4" s="29" t="s">
        <v>335</v>
      </c>
      <c r="E4" s="29" t="s">
        <v>336</v>
      </c>
      <c r="F4" s="29" t="s">
        <v>337</v>
      </c>
      <c r="G4" s="29" t="s">
        <v>338</v>
      </c>
      <c r="H4" s="29" t="s">
        <v>339</v>
      </c>
      <c r="I4" s="29" t="s">
        <v>340</v>
      </c>
      <c r="J4" s="29" t="s">
        <v>341</v>
      </c>
    </row>
    <row r="5" customFormat="false" ht="15" hidden="false" customHeight="true" outlineLevel="0" collapsed="false">
      <c r="A5" s="30" t="s">
        <v>342</v>
      </c>
      <c r="B5" s="30" t="s">
        <v>343</v>
      </c>
      <c r="C5" s="31" t="s">
        <v>344</v>
      </c>
      <c r="D5" s="32" t="n">
        <v>2</v>
      </c>
      <c r="E5" s="32" t="n">
        <v>1</v>
      </c>
      <c r="F5" s="32" t="n">
        <v>15</v>
      </c>
      <c r="G5" s="32" t="n">
        <v>5</v>
      </c>
      <c r="H5" s="30" t="n">
        <f aca="false">(F5+G5)*E5</f>
        <v>20</v>
      </c>
      <c r="I5" s="30" t="s">
        <v>345</v>
      </c>
      <c r="J5" s="30" t="s">
        <v>346</v>
      </c>
    </row>
    <row r="6" customFormat="false" ht="15" hidden="false" customHeight="true" outlineLevel="0" collapsed="false">
      <c r="A6" s="30" t="s">
        <v>347</v>
      </c>
      <c r="B6" s="30" t="s">
        <v>348</v>
      </c>
      <c r="C6" s="31" t="s">
        <v>349</v>
      </c>
      <c r="D6" s="32" t="n">
        <v>10</v>
      </c>
      <c r="E6" s="32" t="n">
        <v>1</v>
      </c>
      <c r="F6" s="32" t="n">
        <v>22</v>
      </c>
      <c r="G6" s="32" t="n">
        <v>5</v>
      </c>
      <c r="H6" s="30" t="n">
        <f aca="false">(F6+G6)*E6</f>
        <v>27</v>
      </c>
      <c r="I6" s="30" t="s">
        <v>345</v>
      </c>
      <c r="J6" s="30" t="s">
        <v>350</v>
      </c>
    </row>
    <row r="7" customFormat="false" ht="15" hidden="false" customHeight="true" outlineLevel="0" collapsed="false">
      <c r="A7" s="30" t="s">
        <v>351</v>
      </c>
      <c r="B7" s="30" t="s">
        <v>352</v>
      </c>
      <c r="C7" s="31" t="s">
        <v>353</v>
      </c>
      <c r="D7" s="32" t="n">
        <v>4</v>
      </c>
      <c r="E7" s="32" t="n">
        <v>1</v>
      </c>
      <c r="F7" s="32" t="n">
        <v>18</v>
      </c>
      <c r="G7" s="32" t="n">
        <v>7</v>
      </c>
      <c r="H7" s="30" t="n">
        <f aca="false">(F7+G7)*E7</f>
        <v>25</v>
      </c>
      <c r="I7" s="30" t="s">
        <v>354</v>
      </c>
      <c r="J7" s="30" t="s">
        <v>355</v>
      </c>
    </row>
    <row r="8" customFormat="false" ht="15" hidden="false" customHeight="true" outlineLevel="0" collapsed="false">
      <c r="A8" s="30" t="s">
        <v>356</v>
      </c>
      <c r="B8" s="30" t="s">
        <v>357</v>
      </c>
      <c r="C8" s="31" t="s">
        <v>358</v>
      </c>
      <c r="D8" s="32" t="n">
        <v>10</v>
      </c>
      <c r="E8" s="32" t="n">
        <v>1</v>
      </c>
      <c r="F8" s="32" t="n">
        <v>15</v>
      </c>
      <c r="G8" s="32" t="n">
        <v>10</v>
      </c>
      <c r="H8" s="30" t="n">
        <f aca="false">(F8+G8)*E8</f>
        <v>25</v>
      </c>
      <c r="I8" s="30" t="s">
        <v>354</v>
      </c>
      <c r="J8" s="30" t="s">
        <v>359</v>
      </c>
    </row>
    <row r="9" customFormat="false" ht="15" hidden="false" customHeight="true" outlineLevel="0" collapsed="false">
      <c r="A9" s="30" t="s">
        <v>360</v>
      </c>
      <c r="B9" s="30" t="s">
        <v>361</v>
      </c>
      <c r="C9" s="31" t="s">
        <v>362</v>
      </c>
      <c r="D9" s="32" t="n">
        <v>10</v>
      </c>
      <c r="E9" s="32" t="n">
        <v>1</v>
      </c>
      <c r="F9" s="32" t="n">
        <v>15</v>
      </c>
      <c r="G9" s="32" t="n">
        <v>8</v>
      </c>
      <c r="H9" s="30" t="n">
        <f aca="false">(F9+G9)*E9</f>
        <v>23</v>
      </c>
      <c r="I9" s="30" t="s">
        <v>354</v>
      </c>
      <c r="J9" s="30" t="s">
        <v>363</v>
      </c>
    </row>
    <row r="10" customFormat="false" ht="15" hidden="false" customHeight="true" outlineLevel="0" collapsed="false">
      <c r="A10" s="30" t="s">
        <v>364</v>
      </c>
      <c r="B10" s="30" t="s">
        <v>365</v>
      </c>
      <c r="C10" s="31" t="s">
        <v>366</v>
      </c>
      <c r="D10" s="32" t="n">
        <v>2</v>
      </c>
      <c r="E10" s="32" t="n">
        <v>4</v>
      </c>
      <c r="F10" s="32" t="n">
        <v>15</v>
      </c>
      <c r="G10" s="32" t="n">
        <v>5</v>
      </c>
      <c r="H10" s="30" t="n">
        <f aca="false">(F10+G10)*E10</f>
        <v>80</v>
      </c>
      <c r="I10" s="30" t="s">
        <v>354</v>
      </c>
      <c r="J10" s="30" t="s">
        <v>367</v>
      </c>
    </row>
    <row r="11" customFormat="false" ht="15" hidden="false" customHeight="true" outlineLevel="0" collapsed="false">
      <c r="A11" s="30" t="s">
        <v>368</v>
      </c>
      <c r="B11" s="30" t="s">
        <v>369</v>
      </c>
      <c r="C11" s="31" t="s">
        <v>370</v>
      </c>
      <c r="D11" s="32" t="n">
        <v>1</v>
      </c>
      <c r="E11" s="32" t="n">
        <v>1</v>
      </c>
      <c r="F11" s="32" t="n">
        <v>30</v>
      </c>
      <c r="G11" s="32" t="n">
        <v>10</v>
      </c>
      <c r="H11" s="30" t="n">
        <f aca="false">(F11+G11)*E11</f>
        <v>40</v>
      </c>
      <c r="I11" s="30" t="s">
        <v>354</v>
      </c>
      <c r="J11" s="30" t="s">
        <v>371</v>
      </c>
    </row>
    <row r="12" customFormat="false" ht="15" hidden="false" customHeight="true" outlineLevel="0" collapsed="false">
      <c r="A12" s="33"/>
      <c r="B12" s="33"/>
      <c r="C12" s="33" t="s">
        <v>372</v>
      </c>
      <c r="D12" s="33" t="n">
        <f aca="false">SUMPRODUCT(D5:D11,E5:E11)</f>
        <v>45</v>
      </c>
      <c r="E12" s="33" t="n">
        <f aca="false">SUM(E5:E11)</f>
        <v>10</v>
      </c>
      <c r="F12" s="33"/>
      <c r="G12" s="33"/>
      <c r="H12" s="33" t="n">
        <f aca="false">SUM(H5:H11)</f>
        <v>240</v>
      </c>
      <c r="I12" s="33"/>
      <c r="J12" s="33"/>
    </row>
    <row r="13" customFormat="false" ht="15" hidden="false" customHeight="true" outlineLevel="0" collapsed="false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customFormat="false" ht="15" hidden="false" customHeight="true" outlineLevel="0" collapsed="false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customFormat="false" ht="15" hidden="false" customHeight="true" outlineLevel="0" collapsed="false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tru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customFormat="false" ht="15" hidden="false" customHeight="true" outlineLevel="0" collapsed="false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customFormat="false" ht="15" hidden="false" customHeight="true" outlineLevel="0" collapsed="false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customFormat="false" ht="15" hidden="false" customHeight="true" outlineLevel="0" collapsed="false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customFormat="false" ht="15" hidden="false" customHeight="true" outlineLevel="0" collapsed="false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customFormat="false" ht="15" hidden="false" customHeight="true" outlineLevel="0" collapsed="false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customFormat="false" ht="15" hidden="false" customHeight="true" outlineLevel="0" collapsed="false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customFormat="false" ht="15" hidden="false" customHeight="true" outlineLevel="0" collapsed="false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 customFormat="false" ht="15" hidden="false" customHeight="true" outlineLevel="0" collapsed="false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 customFormat="false" ht="15" hidden="false" customHeight="true" outlineLevel="0" collapsed="false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 customFormat="false" ht="15" hidden="false" customHeight="true" outlineLevel="0" collapsed="false">
      <c r="A31" s="27"/>
      <c r="B31" s="27"/>
      <c r="C31" s="27"/>
      <c r="D31" s="27"/>
      <c r="E31" s="27"/>
      <c r="F31" s="27"/>
      <c r="G31" s="27"/>
      <c r="H31" s="27"/>
      <c r="I31" s="27"/>
      <c r="J31" s="27"/>
    </row>
    <row r="32" customFormat="false" ht="15" hidden="false" customHeight="true" outlineLevel="0" collapsed="false">
      <c r="A32" s="27"/>
      <c r="B32" s="27"/>
      <c r="C32" s="27"/>
      <c r="D32" s="27"/>
      <c r="E32" s="27"/>
      <c r="F32" s="27"/>
      <c r="G32" s="27"/>
      <c r="H32" s="27"/>
      <c r="I32" s="27"/>
      <c r="J32" s="27"/>
    </row>
    <row r="33" customFormat="false" ht="15" hidden="false" customHeight="true" outlineLevel="0" collapsed="false">
      <c r="A33" s="27"/>
      <c r="B33" s="27"/>
      <c r="C33" s="27"/>
      <c r="D33" s="27"/>
      <c r="E33" s="27"/>
      <c r="F33" s="27"/>
      <c r="G33" s="27"/>
      <c r="H33" s="27"/>
      <c r="I33" s="27"/>
      <c r="J33" s="27"/>
    </row>
    <row r="34" customFormat="false" ht="30" hidden="false" customHeight="true" outlineLevel="0" collapsed="false">
      <c r="A34" s="27"/>
      <c r="B34" s="27"/>
      <c r="C34" s="27"/>
      <c r="D34" s="27"/>
      <c r="E34" s="27"/>
      <c r="F34" s="27"/>
      <c r="G34" s="27"/>
      <c r="H34" s="27"/>
      <c r="I34" s="27"/>
      <c r="J34" s="27"/>
    </row>
    <row r="35" customFormat="false" ht="30" hidden="false" customHeight="true" outlineLevel="0" collapsed="false">
      <c r="A35" s="27"/>
      <c r="B35" s="27"/>
      <c r="C35" s="27"/>
      <c r="D35" s="27"/>
      <c r="E35" s="27"/>
      <c r="F35" s="27"/>
      <c r="G35" s="27"/>
      <c r="H35" s="27"/>
      <c r="I35" s="27"/>
      <c r="J35" s="27"/>
    </row>
    <row r="36" customFormat="false" ht="30" hidden="false" customHeight="true" outlineLevel="0" collapsed="false">
      <c r="A36" s="27"/>
      <c r="B36" s="27"/>
      <c r="C36" s="27"/>
      <c r="D36" s="27"/>
      <c r="E36" s="27"/>
      <c r="F36" s="27"/>
      <c r="G36" s="27"/>
      <c r="H36" s="27"/>
      <c r="I36" s="27"/>
      <c r="J36" s="27"/>
    </row>
    <row r="37" customFormat="false" ht="30" hidden="false" customHeight="true" outlineLevel="0" collapsed="false">
      <c r="A37" s="27"/>
      <c r="B37" s="27"/>
      <c r="C37" s="27"/>
      <c r="D37" s="27"/>
      <c r="E37" s="27"/>
      <c r="F37" s="27"/>
      <c r="G37" s="27"/>
      <c r="H37" s="27"/>
      <c r="I37" s="27"/>
      <c r="J37" s="27"/>
    </row>
    <row r="38" customFormat="false" ht="30" hidden="false" customHeight="true" outlineLevel="0" collapsed="false">
      <c r="A38" s="27"/>
      <c r="B38" s="27"/>
      <c r="C38" s="27"/>
      <c r="D38" s="27"/>
      <c r="E38" s="27"/>
      <c r="F38" s="27"/>
      <c r="G38" s="27"/>
      <c r="H38" s="27"/>
      <c r="I38" s="27"/>
      <c r="J38" s="27"/>
    </row>
    <row r="39" customFormat="false" ht="15" hidden="false" customHeight="true" outlineLevel="0" collapsed="false">
      <c r="A39" s="27"/>
      <c r="B39" s="27"/>
      <c r="C39" s="27"/>
      <c r="D39" s="27"/>
      <c r="E39" s="27"/>
      <c r="F39" s="27"/>
      <c r="G39" s="27"/>
      <c r="H39" s="27"/>
      <c r="I39" s="27"/>
      <c r="J39" s="27"/>
    </row>
    <row r="40" customFormat="false" ht="15" hidden="false" customHeight="true" outlineLevel="0" collapsed="false">
      <c r="A40" s="27"/>
      <c r="B40" s="27"/>
      <c r="C40" s="27"/>
      <c r="D40" s="27"/>
      <c r="E40" s="27"/>
      <c r="F40" s="27"/>
      <c r="G40" s="27"/>
      <c r="H40" s="27"/>
      <c r="I40" s="27"/>
      <c r="J40" s="27"/>
    </row>
    <row r="41" customFormat="false" ht="30" hidden="false" customHeight="true" outlineLevel="0" collapsed="false">
      <c r="A41" s="27"/>
      <c r="B41" s="27"/>
      <c r="C41" s="27"/>
      <c r="D41" s="27"/>
      <c r="E41" s="27"/>
      <c r="F41" s="27"/>
      <c r="G41" s="27"/>
      <c r="H41" s="27"/>
      <c r="I41" s="27"/>
      <c r="J41" s="27"/>
    </row>
    <row r="42" customFormat="false" ht="30" hidden="false" customHeight="true" outlineLevel="0" collapsed="false">
      <c r="A42" s="27"/>
      <c r="B42" s="27"/>
      <c r="C42" s="27"/>
      <c r="D42" s="27"/>
      <c r="E42" s="27"/>
      <c r="F42" s="27"/>
      <c r="G42" s="27"/>
      <c r="H42" s="27"/>
      <c r="I42" s="27"/>
      <c r="J42" s="27"/>
    </row>
    <row r="43" customFormat="false" ht="30" hidden="false" customHeight="true" outlineLevel="0" collapsed="false">
      <c r="A43" s="27"/>
      <c r="B43" s="27"/>
      <c r="C43" s="27"/>
      <c r="D43" s="27"/>
      <c r="E43" s="27"/>
      <c r="F43" s="27"/>
      <c r="G43" s="27"/>
      <c r="H43" s="27"/>
      <c r="I43" s="27"/>
      <c r="J43" s="27"/>
    </row>
    <row r="44" customFormat="false" ht="30" hidden="false" customHeight="tru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</row>
    <row r="45" customFormat="false" ht="30" hidden="false" customHeight="true" outlineLevel="0" collapsed="false">
      <c r="A45" s="27"/>
      <c r="B45" s="27"/>
      <c r="C45" s="27"/>
      <c r="D45" s="27"/>
      <c r="E45" s="27"/>
      <c r="F45" s="27"/>
      <c r="G45" s="27"/>
      <c r="H45" s="27"/>
      <c r="I45" s="27"/>
      <c r="J45" s="27"/>
    </row>
    <row r="46" customFormat="false" ht="30" hidden="false" customHeight="true" outlineLevel="0" collapsed="false">
      <c r="A46" s="27"/>
      <c r="B46" s="27"/>
      <c r="C46" s="27"/>
      <c r="D46" s="27"/>
      <c r="E46" s="27"/>
      <c r="F46" s="27"/>
      <c r="G46" s="27"/>
      <c r="H46" s="27"/>
      <c r="I46" s="27"/>
      <c r="J46" s="27"/>
    </row>
    <row r="47" customFormat="false" ht="15" hidden="false" customHeight="true" outlineLevel="0" collapsed="false">
      <c r="A47" s="27"/>
      <c r="B47" s="27"/>
      <c r="C47" s="27"/>
      <c r="D47" s="27"/>
      <c r="E47" s="27"/>
      <c r="F47" s="27"/>
      <c r="G47" s="27"/>
      <c r="H47" s="27"/>
      <c r="I47" s="27"/>
      <c r="J47" s="27"/>
    </row>
    <row r="48" customFormat="false" ht="15" hidden="false" customHeight="true" outlineLevel="0" collapsed="false">
      <c r="A48" s="27"/>
      <c r="B48" s="27"/>
      <c r="C48" s="27"/>
      <c r="D48" s="27"/>
      <c r="E48" s="27"/>
      <c r="F48" s="27"/>
      <c r="G48" s="27"/>
      <c r="H48" s="27"/>
      <c r="I48" s="27"/>
      <c r="J48" s="27"/>
    </row>
    <row r="49" customFormat="false" ht="15" hidden="false" customHeight="true" outlineLevel="0" collapsed="false">
      <c r="A49" s="27"/>
      <c r="B49" s="30"/>
      <c r="C49" s="30"/>
      <c r="D49" s="30"/>
      <c r="E49" s="30"/>
      <c r="F49" s="30"/>
      <c r="G49" s="30"/>
      <c r="H49" s="30"/>
      <c r="I49" s="30"/>
      <c r="J49" s="30"/>
    </row>
    <row r="50" customFormat="false" ht="15" hidden="false" customHeight="true" outlineLevel="0" collapsed="false">
      <c r="A50" s="27"/>
      <c r="B50" s="30"/>
      <c r="C50" s="30"/>
      <c r="D50" s="30"/>
      <c r="E50" s="30"/>
      <c r="F50" s="30"/>
      <c r="G50" s="30"/>
      <c r="H50" s="27"/>
      <c r="I50" s="27"/>
      <c r="J50" s="27"/>
    </row>
    <row r="51" customFormat="false" ht="23.25" hidden="false" customHeight="true" outlineLevel="0" collapsed="false">
      <c r="A51" s="27"/>
      <c r="B51" s="30"/>
      <c r="C51" s="30"/>
      <c r="D51" s="30"/>
      <c r="E51" s="30"/>
      <c r="F51" s="30"/>
      <c r="G51" s="30"/>
      <c r="H51" s="27"/>
      <c r="I51" s="27"/>
      <c r="J51" s="27"/>
    </row>
    <row r="52" customFormat="false" ht="23.25" hidden="false" customHeight="true" outlineLevel="0" collapsed="false">
      <c r="A52" s="27"/>
      <c r="B52" s="30"/>
      <c r="C52" s="30"/>
      <c r="D52" s="30"/>
      <c r="E52" s="30"/>
      <c r="F52" s="30"/>
      <c r="G52" s="30"/>
      <c r="H52" s="27"/>
      <c r="I52" s="27"/>
      <c r="J52" s="27"/>
    </row>
    <row r="53" customFormat="false" ht="15" hidden="false" customHeight="true" outlineLevel="0" collapsed="false">
      <c r="A53" s="27"/>
      <c r="B53" s="30"/>
      <c r="C53" s="30"/>
      <c r="D53" s="30"/>
      <c r="E53" s="30"/>
      <c r="F53" s="30"/>
      <c r="G53" s="30"/>
      <c r="H53" s="27"/>
      <c r="I53" s="27"/>
      <c r="J53" s="27"/>
    </row>
    <row r="54" customFormat="false" ht="23.25" hidden="false" customHeight="true" outlineLevel="0" collapsed="false">
      <c r="A54" s="27"/>
      <c r="B54" s="30"/>
      <c r="C54" s="30"/>
      <c r="D54" s="30"/>
      <c r="E54" s="30"/>
      <c r="F54" s="30"/>
      <c r="G54" s="30"/>
      <c r="H54" s="27"/>
      <c r="I54" s="27"/>
      <c r="J54" s="27"/>
    </row>
    <row r="55" customFormat="false" ht="15" hidden="false" customHeight="true" outlineLevel="0" collapsed="false">
      <c r="A55" s="27"/>
      <c r="B55" s="30"/>
      <c r="C55" s="30"/>
      <c r="D55" s="30"/>
      <c r="E55" s="30"/>
      <c r="F55" s="30"/>
      <c r="G55" s="30"/>
      <c r="H55" s="27"/>
      <c r="I55" s="27"/>
      <c r="J55" s="27"/>
    </row>
    <row r="56" customFormat="false" ht="15" hidden="false" customHeight="true" outlineLevel="0" collapsed="false">
      <c r="A56" s="27"/>
      <c r="B56" s="30"/>
      <c r="C56" s="30"/>
      <c r="D56" s="30"/>
      <c r="E56" s="30"/>
      <c r="F56" s="30"/>
      <c r="G56" s="30"/>
      <c r="H56" s="27"/>
      <c r="I56" s="27"/>
      <c r="J56" s="27"/>
    </row>
    <row r="57" customFormat="false" ht="15" hidden="false" customHeight="true" outlineLevel="0" collapsed="false">
      <c r="A57" s="27"/>
      <c r="B57" s="30"/>
      <c r="C57" s="30"/>
      <c r="D57" s="30"/>
      <c r="E57" s="30"/>
      <c r="F57" s="30"/>
      <c r="G57" s="30"/>
      <c r="H57" s="27"/>
      <c r="I57" s="27"/>
      <c r="J57" s="27"/>
    </row>
    <row r="58" customFormat="false" ht="15" hidden="false" customHeight="true" outlineLevel="0" collapsed="false">
      <c r="A58" s="27"/>
      <c r="B58" s="30"/>
      <c r="C58" s="30"/>
      <c r="D58" s="30"/>
      <c r="E58" s="30"/>
      <c r="F58" s="30"/>
      <c r="G58" s="30"/>
      <c r="H58" s="27"/>
      <c r="I58" s="27"/>
      <c r="J58" s="27"/>
    </row>
    <row r="59" customFormat="false" ht="15" hidden="false" customHeight="true" outlineLevel="0" collapsed="false">
      <c r="A59" s="27"/>
      <c r="B59" s="27"/>
      <c r="C59" s="27"/>
      <c r="D59" s="27"/>
      <c r="E59" s="27"/>
      <c r="F59" s="27"/>
      <c r="G59" s="27"/>
      <c r="H59" s="27"/>
      <c r="I59" s="27"/>
      <c r="J59" s="27"/>
    </row>
    <row r="60" customFormat="false" ht="15" hidden="false" customHeight="true" outlineLevel="0" collapsed="false">
      <c r="A60" s="27"/>
      <c r="B60" s="27"/>
      <c r="C60" s="27"/>
      <c r="D60" s="27"/>
      <c r="E60" s="27"/>
      <c r="F60" s="27"/>
      <c r="G60" s="27"/>
      <c r="H60" s="27"/>
      <c r="I60" s="27"/>
      <c r="J60" s="27"/>
    </row>
    <row r="61" customFormat="false" ht="15" hidden="false" customHeight="true" outlineLevel="0" collapsed="false">
      <c r="A61" s="27"/>
      <c r="B61" s="30"/>
      <c r="C61" s="30"/>
      <c r="D61" s="30"/>
      <c r="E61" s="27"/>
      <c r="F61" s="27"/>
      <c r="G61" s="27"/>
      <c r="H61" s="27"/>
      <c r="I61" s="27"/>
      <c r="J61" s="27"/>
    </row>
    <row r="62" customFormat="false" ht="15" hidden="false" customHeight="true" outlineLevel="0" collapsed="false">
      <c r="A62" s="27"/>
      <c r="B62" s="30"/>
      <c r="C62" s="30"/>
      <c r="D62" s="30"/>
      <c r="E62" s="27"/>
      <c r="F62" s="27"/>
      <c r="G62" s="27"/>
      <c r="H62" s="27"/>
      <c r="I62" s="27"/>
      <c r="J62" s="27"/>
    </row>
    <row r="63" customFormat="false" ht="15" hidden="false" customHeight="true" outlineLevel="0" collapsed="false">
      <c r="A63" s="27"/>
      <c r="B63" s="30"/>
      <c r="C63" s="30"/>
      <c r="D63" s="30"/>
      <c r="E63" s="27"/>
      <c r="F63" s="27"/>
      <c r="G63" s="27"/>
      <c r="H63" s="27"/>
      <c r="I63" s="27"/>
      <c r="J63" s="27"/>
    </row>
    <row r="64" customFormat="false" ht="15" hidden="false" customHeight="true" outlineLevel="0" collapsed="false">
      <c r="A64" s="27"/>
      <c r="B64" s="30"/>
      <c r="C64" s="30"/>
      <c r="D64" s="30"/>
      <c r="E64" s="27"/>
      <c r="F64" s="27"/>
      <c r="G64" s="27"/>
      <c r="H64" s="27"/>
      <c r="I64" s="27"/>
      <c r="J64" s="27"/>
    </row>
    <row r="65" customFormat="false" ht="15" hidden="false" customHeight="true" outlineLevel="0" collapsed="false">
      <c r="A65" s="27"/>
      <c r="B65" s="30"/>
      <c r="C65" s="30"/>
      <c r="D65" s="30"/>
      <c r="E65" s="27"/>
      <c r="F65" s="27"/>
      <c r="G65" s="27"/>
      <c r="H65" s="27"/>
      <c r="I65" s="27"/>
      <c r="J65" s="27"/>
    </row>
    <row r="66" customFormat="false" ht="15" hidden="false" customHeight="true" outlineLevel="0" collapsed="false">
      <c r="A66" s="27"/>
      <c r="B66" s="30"/>
      <c r="C66" s="30"/>
      <c r="D66" s="30"/>
      <c r="E66" s="27"/>
      <c r="F66" s="27"/>
      <c r="G66" s="27"/>
      <c r="H66" s="27"/>
      <c r="I66" s="27"/>
      <c r="J66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373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2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1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20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345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346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34.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16</v>
      </c>
      <c r="E15" s="45" t="n">
        <f aca="false">B15*D15*IF(C15="GP1",gp1_ss,IF(C15="GP2",gp2_ss,IF(C15="GP3",gp3_ss,IF(C15="GP4",gp4_ss,IF(C15="GP5",gp5_ss,0)))))</f>
        <v>447.68</v>
      </c>
      <c r="F15" s="42" t="s">
        <v>393</v>
      </c>
      <c r="G15" s="43" t="n">
        <v>1</v>
      </c>
      <c r="H15" s="44" t="s">
        <v>392</v>
      </c>
      <c r="I15" s="43" t="n">
        <v>16</v>
      </c>
      <c r="J15" s="45" t="n">
        <f aca="false">G15*I15*IF(H15="GP1",gp1_ss,IF(H15="GP2",gp2_ss,IF(H15="GP3",gp3_ss,IF(H15="GP4",gp4_ss,IF(H15="GP5",gp5_ss,0)))))</f>
        <v>447.68</v>
      </c>
      <c r="K15" s="42" t="s">
        <v>394</v>
      </c>
    </row>
    <row r="16" customFormat="false" ht="23.2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8</v>
      </c>
      <c r="E16" s="45" t="n">
        <f aca="false">B16*D16*IF(C16="GP1",gp1_ss,IF(C16="GP2",gp2_ss,IF(C16="GP3",gp3_ss,IF(C16="GP4",gp4_ss,IF(C16="GP5",gp5_ss,0)))))</f>
        <v>99.76</v>
      </c>
      <c r="F16" s="42" t="s">
        <v>397</v>
      </c>
      <c r="G16" s="43" t="n">
        <v>1</v>
      </c>
      <c r="H16" s="44" t="s">
        <v>396</v>
      </c>
      <c r="I16" s="43" t="n">
        <v>8</v>
      </c>
      <c r="J16" s="45" t="n">
        <f aca="false">G16*I16*IF(H16="GP1",gp1_ss,IF(H16="GP2",gp2_ss,IF(H16="GP3",gp3_ss,IF(H16="GP4",gp4_ss,IF(H16="GP5",gp5_ss,0)))))</f>
        <v>99.76</v>
      </c>
      <c r="K16" s="42" t="s">
        <v>398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23.25" hidden="false" customHeight="true" outlineLevel="0" collapsed="false">
      <c r="A19" s="42" t="s">
        <v>400</v>
      </c>
      <c r="B19" s="43" t="n">
        <v>1</v>
      </c>
      <c r="C19" s="44" t="s">
        <v>392</v>
      </c>
      <c r="D19" s="43" t="n">
        <v>40</v>
      </c>
      <c r="E19" s="45" t="n">
        <f aca="false">B19*D19*IF(C19="GP1",gp1_ss,IF(C19="GP2",gp2_ss,IF(C19="GP3",gp3_ss,IF(C19="GP4",gp4_ss,IF(C19="GP5",gp5_ss,0)))))</f>
        <v>1119.2</v>
      </c>
      <c r="F19" s="42" t="s">
        <v>401</v>
      </c>
      <c r="G19" s="43" t="n">
        <v>1</v>
      </c>
      <c r="H19" s="44" t="s">
        <v>392</v>
      </c>
      <c r="I19" s="43" t="n">
        <v>40</v>
      </c>
      <c r="J19" s="45" t="n">
        <f aca="false">G19*I19*IF(H19="GP1",gp1_ss,IF(H19="GP2",gp2_ss,IF(H19="GP3",gp3_ss,IF(H19="GP4",gp4_ss,IF(H19="GP5",gp5_ss,0)))))</f>
        <v>1119.2</v>
      </c>
      <c r="K19" s="42" t="s">
        <v>402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8</v>
      </c>
      <c r="E23" s="45" t="n">
        <f aca="false">B23*D23*IF(C23="GP1",gp1_ss,IF(C23="GP2",gp2_ss,IF(C23="GP3",gp3_ss,IF(C23="GP4",gp4_ss,IF(C23="GP5",gp5_ss,0)))))</f>
        <v>223.84</v>
      </c>
      <c r="F23" s="42" t="s">
        <v>406</v>
      </c>
      <c r="G23" s="43" t="n">
        <v>1</v>
      </c>
      <c r="H23" s="44" t="s">
        <v>392</v>
      </c>
      <c r="I23" s="43" t="n">
        <v>8</v>
      </c>
      <c r="J23" s="45" t="n">
        <f aca="false">G23*I23*IF(H23="GP1",gp1_ss,IF(H23="GP2",gp2_ss,IF(H23="GP3",gp3_ss,IF(H23="GP4",gp4_ss,IF(H23="GP5",gp5_ss,0)))))</f>
        <v>223.84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409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24</v>
      </c>
      <c r="C28" s="47"/>
      <c r="D28" s="48" t="n">
        <f aca="false">E15+E16</f>
        <v>547.44</v>
      </c>
      <c r="E28" s="48"/>
      <c r="G28" s="47" t="n">
        <f aca="false">G15*I15+G16*I16</f>
        <v>24</v>
      </c>
      <c r="H28" s="47"/>
      <c r="I28" s="48" t="n">
        <f aca="false">J15+J16</f>
        <v>547.44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40</v>
      </c>
      <c r="C29" s="47"/>
      <c r="D29" s="48" t="n">
        <f aca="false">E19+E20</f>
        <v>1119.2</v>
      </c>
      <c r="E29" s="48"/>
      <c r="G29" s="47" t="n">
        <f aca="false">G19*I19+G20*I20</f>
        <v>40</v>
      </c>
      <c r="H29" s="47"/>
      <c r="I29" s="48" t="n">
        <f aca="false">J19+J20</f>
        <v>1119.2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8</v>
      </c>
      <c r="C30" s="47"/>
      <c r="D30" s="48" t="n">
        <f aca="false">E23+E24</f>
        <v>223.84</v>
      </c>
      <c r="E30" s="48"/>
      <c r="G30" s="47" t="n">
        <f aca="false">G23*I23+G24*I24</f>
        <v>8</v>
      </c>
      <c r="H30" s="47"/>
      <c r="I30" s="48" t="n">
        <f aca="false">J23+J24</f>
        <v>223.84</v>
      </c>
      <c r="J30" s="48"/>
    </row>
    <row r="31" customFormat="false" ht="15" hidden="false" customHeight="true" outlineLevel="0" collapsed="false">
      <c r="A31" s="49" t="s">
        <v>415</v>
      </c>
      <c r="B31" s="50" t="n">
        <f aca="false">B28+B29+B30</f>
        <v>72</v>
      </c>
      <c r="C31" s="50"/>
      <c r="D31" s="51" t="n">
        <f aca="false">D28+D29+D30</f>
        <v>1890.48</v>
      </c>
      <c r="E31" s="51"/>
      <c r="F31" s="49"/>
      <c r="G31" s="50" t="n">
        <f aca="false">G28+G29+G30</f>
        <v>72</v>
      </c>
      <c r="H31" s="50"/>
      <c r="I31" s="51" t="n">
        <f aca="false">I28+I29+I30</f>
        <v>1890.48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3780.96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417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VIAJES!P5</f>
        <v>2764.4</v>
      </c>
    </row>
    <row r="35" customFormat="false" ht="15" hidden="false" customHeight="true" outlineLevel="0" collapsed="false">
      <c r="A35" s="49" t="s">
        <v>418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6545.36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420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10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1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27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345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350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45.7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100</v>
      </c>
      <c r="E15" s="45" t="n">
        <f aca="false">B15*D15*IF(C15="GP1",gp1_ss,IF(C15="GP2",gp2_ss,IF(C15="GP3",gp3_ss,IF(C15="GP4",gp4_ss,IF(C15="GP5",gp5_ss,0)))))</f>
        <v>2798</v>
      </c>
      <c r="F15" s="42" t="s">
        <v>421</v>
      </c>
      <c r="G15" s="43" t="n">
        <v>1</v>
      </c>
      <c r="H15" s="44" t="s">
        <v>392</v>
      </c>
      <c r="I15" s="43" t="n">
        <v>60</v>
      </c>
      <c r="J15" s="45" t="n">
        <f aca="false">G15*I15*IF(H15="GP1",gp1_ss,IF(H15="GP2",gp2_ss,IF(H15="GP3",gp3_ss,IF(H15="GP4",gp4_ss,IF(H15="GP5",gp5_ss,0)))))</f>
        <v>1678.8</v>
      </c>
      <c r="K15" s="42" t="s">
        <v>422</v>
      </c>
    </row>
    <row r="16" customFormat="false" ht="23.2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16</v>
      </c>
      <c r="E16" s="45" t="n">
        <f aca="false">B16*D16*IF(C16="GP1",gp1_ss,IF(C16="GP2",gp2_ss,IF(C16="GP3",gp3_ss,IF(C16="GP4",gp4_ss,IF(C16="GP5",gp5_ss,0)))))</f>
        <v>199.52</v>
      </c>
      <c r="F16" s="42" t="s">
        <v>423</v>
      </c>
      <c r="G16" s="43" t="n">
        <v>1</v>
      </c>
      <c r="H16" s="44" t="s">
        <v>396</v>
      </c>
      <c r="I16" s="43" t="n">
        <v>8</v>
      </c>
      <c r="J16" s="45" t="n">
        <f aca="false">G16*I16*IF(H16="GP1",gp1_ss,IF(H16="GP2",gp2_ss,IF(H16="GP3",gp3_ss,IF(H16="GP4",gp4_ss,IF(H16="GP5",gp5_ss,0)))))</f>
        <v>99.76</v>
      </c>
      <c r="K16" s="42" t="s">
        <v>424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34.5" hidden="false" customHeight="true" outlineLevel="0" collapsed="false">
      <c r="A19" s="42" t="s">
        <v>425</v>
      </c>
      <c r="B19" s="43" t="n">
        <v>1</v>
      </c>
      <c r="C19" s="44" t="s">
        <v>392</v>
      </c>
      <c r="D19" s="43" t="n">
        <v>200</v>
      </c>
      <c r="E19" s="45" t="n">
        <f aca="false">B19*D19*IF(C19="GP1",gp1_ss,IF(C19="GP2",gp2_ss,IF(C19="GP3",gp3_ss,IF(C19="GP4",gp4_ss,IF(C19="GP5",gp5_ss,0)))))</f>
        <v>5596</v>
      </c>
      <c r="F19" s="42" t="s">
        <v>426</v>
      </c>
      <c r="G19" s="43" t="n">
        <v>1</v>
      </c>
      <c r="H19" s="44" t="s">
        <v>392</v>
      </c>
      <c r="I19" s="43" t="n">
        <v>200</v>
      </c>
      <c r="J19" s="45" t="n">
        <f aca="false">G19*I19*IF(H19="GP1",gp1_ss,IF(H19="GP2",gp2_ss,IF(H19="GP3",gp3_ss,IF(H19="GP4",gp4_ss,IF(H19="GP5",gp5_ss,0)))))</f>
        <v>5596</v>
      </c>
      <c r="K19" s="42" t="s">
        <v>427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40</v>
      </c>
      <c r="E23" s="45" t="n">
        <f aca="false">B23*D23*IF(C23="GP1",gp1_ss,IF(C23="GP2",gp2_ss,IF(C23="GP3",gp3_ss,IF(C23="GP4",gp4_ss,IF(C23="GP5",gp5_ss,0)))))</f>
        <v>1119.2</v>
      </c>
      <c r="F23" s="42" t="s">
        <v>406</v>
      </c>
      <c r="G23" s="43" t="n">
        <v>1</v>
      </c>
      <c r="H23" s="44" t="s">
        <v>392</v>
      </c>
      <c r="I23" s="43" t="n">
        <v>40</v>
      </c>
      <c r="J23" s="45" t="n">
        <f aca="false">G23*I23*IF(H23="GP1",gp1_ss,IF(H23="GP2",gp2_ss,IF(H23="GP3",gp3_ss,IF(H23="GP4",gp4_ss,IF(H23="GP5",gp5_ss,0)))))</f>
        <v>1119.2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428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116</v>
      </c>
      <c r="C28" s="47"/>
      <c r="D28" s="48" t="n">
        <f aca="false">E15+E16</f>
        <v>2997.52</v>
      </c>
      <c r="E28" s="48"/>
      <c r="G28" s="47" t="n">
        <f aca="false">G15*I15+G16*I16</f>
        <v>68</v>
      </c>
      <c r="H28" s="47"/>
      <c r="I28" s="48" t="n">
        <f aca="false">J15+J16</f>
        <v>1778.56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200</v>
      </c>
      <c r="C29" s="47"/>
      <c r="D29" s="48" t="n">
        <f aca="false">E19+E20</f>
        <v>5596</v>
      </c>
      <c r="E29" s="48"/>
      <c r="G29" s="47" t="n">
        <f aca="false">G19*I19+G20*I20</f>
        <v>200</v>
      </c>
      <c r="H29" s="47"/>
      <c r="I29" s="48" t="n">
        <f aca="false">J19+J20</f>
        <v>5596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40</v>
      </c>
      <c r="C30" s="47"/>
      <c r="D30" s="48" t="n">
        <f aca="false">E23+E24</f>
        <v>1119.2</v>
      </c>
      <c r="E30" s="48"/>
      <c r="G30" s="47" t="n">
        <f aca="false">G23*I23+G24*I24</f>
        <v>40</v>
      </c>
      <c r="H30" s="47"/>
      <c r="I30" s="48" t="n">
        <f aca="false">J23+J24</f>
        <v>1119.2</v>
      </c>
      <c r="J30" s="48"/>
    </row>
    <row r="31" customFormat="false" ht="15" hidden="false" customHeight="true" outlineLevel="0" collapsed="false">
      <c r="A31" s="49" t="s">
        <v>429</v>
      </c>
      <c r="B31" s="50" t="n">
        <f aca="false">B28+B29+B30</f>
        <v>356</v>
      </c>
      <c r="C31" s="50"/>
      <c r="D31" s="51" t="n">
        <f aca="false">D28+D29+D30</f>
        <v>9712.72</v>
      </c>
      <c r="E31" s="51"/>
      <c r="F31" s="49"/>
      <c r="G31" s="50" t="n">
        <f aca="false">G28+G29+G30</f>
        <v>308</v>
      </c>
      <c r="H31" s="50"/>
      <c r="I31" s="51" t="n">
        <f aca="false">I28+I29+I30</f>
        <v>8493.76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18206.48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430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VIAJES!P6</f>
        <v>11558.8</v>
      </c>
    </row>
    <row r="35" customFormat="false" ht="15" hidden="false" customHeight="true" outlineLevel="0" collapsed="false">
      <c r="A35" s="49" t="s">
        <v>431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29765.28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432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4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1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25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354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355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34.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50</v>
      </c>
      <c r="E15" s="45" t="n">
        <f aca="false">B15*D15*IF(C15="GP1",gp1_ss,IF(C15="GP2",gp2_ss,IF(C15="GP3",gp3_ss,IF(C15="GP4",gp4_ss,IF(C15="GP5",gp5_ss,0)))))</f>
        <v>1399</v>
      </c>
      <c r="F15" s="42" t="s">
        <v>433</v>
      </c>
      <c r="G15" s="43" t="n">
        <v>1</v>
      </c>
      <c r="H15" s="44" t="s">
        <v>392</v>
      </c>
      <c r="I15" s="43" t="n">
        <v>8</v>
      </c>
      <c r="J15" s="45" t="n">
        <f aca="false">G15*I15*IF(H15="GP1",gp1_ss,IF(H15="GP2",gp2_ss,IF(H15="GP3",gp3_ss,IF(H15="GP4",gp4_ss,IF(H15="GP5",gp5_ss,0)))))</f>
        <v>223.84</v>
      </c>
      <c r="K15" s="42" t="s">
        <v>434</v>
      </c>
    </row>
    <row r="16" customFormat="false" ht="23.2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10</v>
      </c>
      <c r="E16" s="45" t="n">
        <f aca="false">B16*D16*IF(C16="GP1",gp1_ss,IF(C16="GP2",gp2_ss,IF(C16="GP3",gp3_ss,IF(C16="GP4",gp4_ss,IF(C16="GP5",gp5_ss,0)))))</f>
        <v>124.7</v>
      </c>
      <c r="F16" s="42" t="s">
        <v>435</v>
      </c>
      <c r="G16" s="43" t="n">
        <v>1</v>
      </c>
      <c r="H16" s="44" t="s">
        <v>396</v>
      </c>
      <c r="I16" s="43" t="n">
        <v>4</v>
      </c>
      <c r="J16" s="45" t="n">
        <f aca="false">G16*I16*IF(H16="GP1",gp1_ss,IF(H16="GP2",gp2_ss,IF(H16="GP3",gp3_ss,IF(H16="GP4",gp4_ss,IF(H16="GP5",gp5_ss,0)))))</f>
        <v>49.88</v>
      </c>
      <c r="K16" s="42" t="s">
        <v>436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34.5" hidden="false" customHeight="true" outlineLevel="0" collapsed="false">
      <c r="A19" s="42" t="s">
        <v>437</v>
      </c>
      <c r="B19" s="43" t="n">
        <v>1</v>
      </c>
      <c r="C19" s="44" t="s">
        <v>392</v>
      </c>
      <c r="D19" s="43" t="n">
        <v>80</v>
      </c>
      <c r="E19" s="45" t="n">
        <f aca="false">B19*D19*IF(C19="GP1",gp1_ss,IF(C19="GP2",gp2_ss,IF(C19="GP3",gp3_ss,IF(C19="GP4",gp4_ss,IF(C19="GP5",gp5_ss,0)))))</f>
        <v>2238.4</v>
      </c>
      <c r="F19" s="42" t="s">
        <v>438</v>
      </c>
      <c r="G19" s="43" t="n">
        <v>1</v>
      </c>
      <c r="H19" s="44" t="s">
        <v>392</v>
      </c>
      <c r="I19" s="43" t="n">
        <v>80</v>
      </c>
      <c r="J19" s="45" t="n">
        <f aca="false">G19*I19*IF(H19="GP1",gp1_ss,IF(H19="GP2",gp2_ss,IF(H19="GP3",gp3_ss,IF(H19="GP4",gp4_ss,IF(H19="GP5",gp5_ss,0)))))</f>
        <v>2238.4</v>
      </c>
      <c r="K19" s="42" t="s">
        <v>439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16</v>
      </c>
      <c r="E23" s="45" t="n">
        <f aca="false">B23*D23*IF(C23="GP1",gp1_ss,IF(C23="GP2",gp2_ss,IF(C23="GP3",gp3_ss,IF(C23="GP4",gp4_ss,IF(C23="GP5",gp5_ss,0)))))</f>
        <v>447.68</v>
      </c>
      <c r="F23" s="42" t="s">
        <v>406</v>
      </c>
      <c r="G23" s="43" t="n">
        <v>1</v>
      </c>
      <c r="H23" s="44" t="s">
        <v>392</v>
      </c>
      <c r="I23" s="43" t="n">
        <v>16</v>
      </c>
      <c r="J23" s="45" t="n">
        <f aca="false">G23*I23*IF(H23="GP1",gp1_ss,IF(H23="GP2",gp2_ss,IF(H23="GP3",gp3_ss,IF(H23="GP4",gp4_ss,IF(H23="GP5",gp5_ss,0)))))</f>
        <v>447.68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440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60</v>
      </c>
      <c r="C28" s="47"/>
      <c r="D28" s="48" t="n">
        <f aca="false">E15+E16</f>
        <v>1523.7</v>
      </c>
      <c r="E28" s="48"/>
      <c r="G28" s="47" t="n">
        <f aca="false">G15*I15+G16*I16</f>
        <v>12</v>
      </c>
      <c r="H28" s="47"/>
      <c r="I28" s="48" t="n">
        <f aca="false">J15+J16</f>
        <v>273.72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80</v>
      </c>
      <c r="C29" s="47"/>
      <c r="D29" s="48" t="n">
        <f aca="false">E19+E20</f>
        <v>2238.4</v>
      </c>
      <c r="E29" s="48"/>
      <c r="G29" s="47" t="n">
        <f aca="false">G19*I19+G20*I20</f>
        <v>80</v>
      </c>
      <c r="H29" s="47"/>
      <c r="I29" s="48" t="n">
        <f aca="false">J19+J20</f>
        <v>2238.4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16</v>
      </c>
      <c r="C30" s="47"/>
      <c r="D30" s="48" t="n">
        <f aca="false">E23+E24</f>
        <v>447.68</v>
      </c>
      <c r="E30" s="48"/>
      <c r="G30" s="47" t="n">
        <f aca="false">G23*I23+G24*I24</f>
        <v>16</v>
      </c>
      <c r="H30" s="47"/>
      <c r="I30" s="48" t="n">
        <f aca="false">J23+J24</f>
        <v>447.68</v>
      </c>
      <c r="J30" s="48"/>
    </row>
    <row r="31" customFormat="false" ht="15" hidden="false" customHeight="true" outlineLevel="0" collapsed="false">
      <c r="A31" s="49" t="s">
        <v>441</v>
      </c>
      <c r="B31" s="50" t="n">
        <f aca="false">B28+B29+B30</f>
        <v>156</v>
      </c>
      <c r="C31" s="50"/>
      <c r="D31" s="51" t="n">
        <f aca="false">D28+D29+D30</f>
        <v>4209.78</v>
      </c>
      <c r="E31" s="51"/>
      <c r="F31" s="49"/>
      <c r="G31" s="50" t="n">
        <f aca="false">G28+G29+G30</f>
        <v>108</v>
      </c>
      <c r="H31" s="50"/>
      <c r="I31" s="51" t="n">
        <f aca="false">I28+I29+I30</f>
        <v>2959.8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7169.58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442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VIAJES!P7</f>
        <v>7929.4</v>
      </c>
    </row>
    <row r="35" customFormat="false" ht="15" hidden="false" customHeight="true" outlineLevel="0" collapsed="false">
      <c r="A35" s="49" t="s">
        <v>443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15098.98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444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10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1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25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354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359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23.2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30</v>
      </c>
      <c r="E15" s="45" t="n">
        <f aca="false">B15*D15*IF(C15="GP1",gp1_ss,IF(C15="GP2",gp2_ss,IF(C15="GP3",gp3_ss,IF(C15="GP4",gp4_ss,IF(C15="GP5",gp5_ss,0)))))</f>
        <v>839.4</v>
      </c>
      <c r="F15" s="42" t="s">
        <v>445</v>
      </c>
      <c r="G15" s="43" t="n">
        <v>1</v>
      </c>
      <c r="H15" s="44" t="s">
        <v>392</v>
      </c>
      <c r="I15" s="43" t="n">
        <v>30</v>
      </c>
      <c r="J15" s="45" t="n">
        <f aca="false">G15*I15*IF(H15="GP1",gp1_ss,IF(H15="GP2",gp2_ss,IF(H15="GP3",gp3_ss,IF(H15="GP4",gp4_ss,IF(H15="GP5",gp5_ss,0)))))</f>
        <v>839.4</v>
      </c>
      <c r="K15" s="42" t="s">
        <v>446</v>
      </c>
    </row>
    <row r="16" customFormat="false" ht="23.2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100</v>
      </c>
      <c r="E16" s="45" t="n">
        <f aca="false">B16*D16*IF(C16="GP1",gp1_ss,IF(C16="GP2",gp2_ss,IF(C16="GP3",gp3_ss,IF(C16="GP4",gp4_ss,IF(C16="GP5",gp5_ss,0)))))</f>
        <v>1247</v>
      </c>
      <c r="F16" s="42" t="s">
        <v>447</v>
      </c>
      <c r="G16" s="43" t="n">
        <v>1</v>
      </c>
      <c r="H16" s="44" t="s">
        <v>396</v>
      </c>
      <c r="I16" s="43" t="n">
        <v>100</v>
      </c>
      <c r="J16" s="45" t="n">
        <f aca="false">G16*I16*IF(H16="GP1",gp1_ss,IF(H16="GP2",gp2_ss,IF(H16="GP3",gp3_ss,IF(H16="GP4",gp4_ss,IF(H16="GP5",gp5_ss,0)))))</f>
        <v>1247</v>
      </c>
      <c r="K16" s="42" t="s">
        <v>448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23.25" hidden="false" customHeight="true" outlineLevel="0" collapsed="false">
      <c r="A19" s="42" t="s">
        <v>425</v>
      </c>
      <c r="B19" s="43" t="n">
        <v>1</v>
      </c>
      <c r="C19" s="44" t="s">
        <v>392</v>
      </c>
      <c r="D19" s="43" t="n">
        <v>200</v>
      </c>
      <c r="E19" s="45" t="n">
        <f aca="false">B19*D19*IF(C19="GP1",gp1_ss,IF(C19="GP2",gp2_ss,IF(C19="GP3",gp3_ss,IF(C19="GP4",gp4_ss,IF(C19="GP5",gp5_ss,0)))))</f>
        <v>5596</v>
      </c>
      <c r="F19" s="42" t="s">
        <v>449</v>
      </c>
      <c r="G19" s="43" t="n">
        <v>1</v>
      </c>
      <c r="H19" s="44" t="s">
        <v>392</v>
      </c>
      <c r="I19" s="43" t="n">
        <v>200</v>
      </c>
      <c r="J19" s="45" t="n">
        <f aca="false">G19*I19*IF(H19="GP1",gp1_ss,IF(H19="GP2",gp2_ss,IF(H19="GP3",gp3_ss,IF(H19="GP4",gp4_ss,IF(H19="GP5",gp5_ss,0)))))</f>
        <v>5596</v>
      </c>
      <c r="K19" s="42" t="s">
        <v>450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40</v>
      </c>
      <c r="E23" s="45" t="n">
        <f aca="false">B23*D23*IF(C23="GP1",gp1_ss,IF(C23="GP2",gp2_ss,IF(C23="GP3",gp3_ss,IF(C23="GP4",gp4_ss,IF(C23="GP5",gp5_ss,0)))))</f>
        <v>1119.2</v>
      </c>
      <c r="F23" s="42" t="s">
        <v>406</v>
      </c>
      <c r="G23" s="43" t="n">
        <v>1</v>
      </c>
      <c r="H23" s="44" t="s">
        <v>392</v>
      </c>
      <c r="I23" s="43" t="n">
        <v>40</v>
      </c>
      <c r="J23" s="45" t="n">
        <f aca="false">G23*I23*IF(H23="GP1",gp1_ss,IF(H23="GP2",gp2_ss,IF(H23="GP3",gp3_ss,IF(H23="GP4",gp4_ss,IF(H23="GP5",gp5_ss,0)))))</f>
        <v>1119.2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451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130</v>
      </c>
      <c r="C28" s="47"/>
      <c r="D28" s="48" t="n">
        <f aca="false">E15+E16</f>
        <v>2086.4</v>
      </c>
      <c r="E28" s="48"/>
      <c r="G28" s="47" t="n">
        <f aca="false">G15*I15+G16*I16</f>
        <v>130</v>
      </c>
      <c r="H28" s="47"/>
      <c r="I28" s="48" t="n">
        <f aca="false">J15+J16</f>
        <v>2086.4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200</v>
      </c>
      <c r="C29" s="47"/>
      <c r="D29" s="48" t="n">
        <f aca="false">E19+E20</f>
        <v>5596</v>
      </c>
      <c r="E29" s="48"/>
      <c r="G29" s="47" t="n">
        <f aca="false">G19*I19+G20*I20</f>
        <v>200</v>
      </c>
      <c r="H29" s="47"/>
      <c r="I29" s="48" t="n">
        <f aca="false">J19+J20</f>
        <v>5596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40</v>
      </c>
      <c r="C30" s="47"/>
      <c r="D30" s="48" t="n">
        <f aca="false">E23+E24</f>
        <v>1119.2</v>
      </c>
      <c r="E30" s="48"/>
      <c r="G30" s="47" t="n">
        <f aca="false">G23*I23+G24*I24</f>
        <v>40</v>
      </c>
      <c r="H30" s="47"/>
      <c r="I30" s="48" t="n">
        <f aca="false">J23+J24</f>
        <v>1119.2</v>
      </c>
      <c r="J30" s="48"/>
    </row>
    <row r="31" customFormat="false" ht="15" hidden="false" customHeight="true" outlineLevel="0" collapsed="false">
      <c r="A31" s="49" t="s">
        <v>452</v>
      </c>
      <c r="B31" s="50" t="n">
        <f aca="false">B28+B29+B30</f>
        <v>370</v>
      </c>
      <c r="C31" s="50"/>
      <c r="D31" s="51" t="n">
        <f aca="false">D28+D29+D30</f>
        <v>8801.6</v>
      </c>
      <c r="E31" s="51"/>
      <c r="F31" s="49"/>
      <c r="G31" s="50" t="n">
        <f aca="false">G28+G29+G30</f>
        <v>370</v>
      </c>
      <c r="H31" s="50"/>
      <c r="I31" s="51" t="n">
        <f aca="false">I28+I29+I30</f>
        <v>8801.6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17603.2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453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VIAJES!P8</f>
        <v>15708.8</v>
      </c>
    </row>
    <row r="35" customFormat="false" ht="15" hidden="false" customHeight="true" outlineLevel="0" collapsed="false">
      <c r="A35" s="49" t="s">
        <v>454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33312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455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10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1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23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354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363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34.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150</v>
      </c>
      <c r="E15" s="45" t="n">
        <f aca="false">B15*D15*IF(C15="GP1",gp1_ss,IF(C15="GP2",gp2_ss,IF(C15="GP3",gp3_ss,IF(C15="GP4",gp4_ss,IF(C15="GP5",gp5_ss,0)))))</f>
        <v>4197</v>
      </c>
      <c r="F15" s="42" t="s">
        <v>456</v>
      </c>
      <c r="G15" s="43" t="n">
        <v>1</v>
      </c>
      <c r="H15" s="44" t="s">
        <v>392</v>
      </c>
      <c r="I15" s="43" t="n">
        <v>30</v>
      </c>
      <c r="J15" s="45" t="n">
        <f aca="false">G15*I15*IF(H15="GP1",gp1_ss,IF(H15="GP2",gp2_ss,IF(H15="GP3",gp3_ss,IF(H15="GP4",gp4_ss,IF(H15="GP5",gp5_ss,0)))))</f>
        <v>839.4</v>
      </c>
      <c r="K15" s="42" t="s">
        <v>457</v>
      </c>
    </row>
    <row r="16" customFormat="false" ht="23.2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80</v>
      </c>
      <c r="E16" s="45" t="n">
        <f aca="false">B16*D16*IF(C16="GP1",gp1_ss,IF(C16="GP2",gp2_ss,IF(C16="GP3",gp3_ss,IF(C16="GP4",gp4_ss,IF(C16="GP5",gp5_ss,0)))))</f>
        <v>997.6</v>
      </c>
      <c r="F16" s="42" t="s">
        <v>458</v>
      </c>
      <c r="G16" s="43" t="n">
        <v>1</v>
      </c>
      <c r="H16" s="44" t="s">
        <v>396</v>
      </c>
      <c r="I16" s="43" t="n">
        <v>40</v>
      </c>
      <c r="J16" s="45" t="n">
        <f aca="false">G16*I16*IF(H16="GP1",gp1_ss,IF(H16="GP2",gp2_ss,IF(H16="GP3",gp3_ss,IF(H16="GP4",gp4_ss,IF(H16="GP5",gp5_ss,0)))))</f>
        <v>498.8</v>
      </c>
      <c r="K16" s="42" t="s">
        <v>459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23.25" hidden="false" customHeight="true" outlineLevel="0" collapsed="false">
      <c r="A19" s="42" t="s">
        <v>425</v>
      </c>
      <c r="B19" s="43" t="n">
        <v>1</v>
      </c>
      <c r="C19" s="44" t="s">
        <v>392</v>
      </c>
      <c r="D19" s="43" t="n">
        <v>200</v>
      </c>
      <c r="E19" s="45" t="n">
        <f aca="false">B19*D19*IF(C19="GP1",gp1_ss,IF(C19="GP2",gp2_ss,IF(C19="GP3",gp3_ss,IF(C19="GP4",gp4_ss,IF(C19="GP5",gp5_ss,0)))))</f>
        <v>5596</v>
      </c>
      <c r="F19" s="42" t="s">
        <v>460</v>
      </c>
      <c r="G19" s="43" t="n">
        <v>1</v>
      </c>
      <c r="H19" s="44" t="s">
        <v>392</v>
      </c>
      <c r="I19" s="43" t="n">
        <v>200</v>
      </c>
      <c r="J19" s="45" t="n">
        <f aca="false">G19*I19*IF(H19="GP1",gp1_ss,IF(H19="GP2",gp2_ss,IF(H19="GP3",gp3_ss,IF(H19="GP4",gp4_ss,IF(H19="GP5",gp5_ss,0)))))</f>
        <v>5596</v>
      </c>
      <c r="K19" s="42" t="s">
        <v>461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40</v>
      </c>
      <c r="E23" s="45" t="n">
        <f aca="false">B23*D23*IF(C23="GP1",gp1_ss,IF(C23="GP2",gp2_ss,IF(C23="GP3",gp3_ss,IF(C23="GP4",gp4_ss,IF(C23="GP5",gp5_ss,0)))))</f>
        <v>1119.2</v>
      </c>
      <c r="F23" s="42" t="s">
        <v>406</v>
      </c>
      <c r="G23" s="43" t="n">
        <v>1</v>
      </c>
      <c r="H23" s="44" t="s">
        <v>392</v>
      </c>
      <c r="I23" s="43" t="n">
        <v>40</v>
      </c>
      <c r="J23" s="45" t="n">
        <f aca="false">G23*I23*IF(H23="GP1",gp1_ss,IF(H23="GP2",gp2_ss,IF(H23="GP3",gp3_ss,IF(H23="GP4",gp4_ss,IF(H23="GP5",gp5_ss,0)))))</f>
        <v>1119.2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462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230</v>
      </c>
      <c r="C28" s="47"/>
      <c r="D28" s="48" t="n">
        <f aca="false">E15+E16</f>
        <v>5194.6</v>
      </c>
      <c r="E28" s="48"/>
      <c r="G28" s="47" t="n">
        <f aca="false">G15*I15+G16*I16</f>
        <v>70</v>
      </c>
      <c r="H28" s="47"/>
      <c r="I28" s="48" t="n">
        <f aca="false">J15+J16</f>
        <v>1338.2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200</v>
      </c>
      <c r="C29" s="47"/>
      <c r="D29" s="48" t="n">
        <f aca="false">E19+E20</f>
        <v>5596</v>
      </c>
      <c r="E29" s="48"/>
      <c r="G29" s="47" t="n">
        <f aca="false">G19*I19+G20*I20</f>
        <v>200</v>
      </c>
      <c r="H29" s="47"/>
      <c r="I29" s="48" t="n">
        <f aca="false">J19+J20</f>
        <v>5596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40</v>
      </c>
      <c r="C30" s="47"/>
      <c r="D30" s="48" t="n">
        <f aca="false">E23+E24</f>
        <v>1119.2</v>
      </c>
      <c r="E30" s="48"/>
      <c r="G30" s="47" t="n">
        <f aca="false">G23*I23+G24*I24</f>
        <v>40</v>
      </c>
      <c r="H30" s="47"/>
      <c r="I30" s="48" t="n">
        <f aca="false">J23+J24</f>
        <v>1119.2</v>
      </c>
      <c r="J30" s="48"/>
    </row>
    <row r="31" customFormat="false" ht="15" hidden="false" customHeight="true" outlineLevel="0" collapsed="false">
      <c r="A31" s="49" t="s">
        <v>463</v>
      </c>
      <c r="B31" s="50" t="n">
        <f aca="false">B28+B29+B30</f>
        <v>470</v>
      </c>
      <c r="C31" s="50"/>
      <c r="D31" s="51" t="n">
        <f aca="false">D28+D29+D30</f>
        <v>11909.8</v>
      </c>
      <c r="E31" s="51"/>
      <c r="F31" s="49"/>
      <c r="G31" s="50" t="n">
        <f aca="false">G28+G29+G30</f>
        <v>310</v>
      </c>
      <c r="H31" s="50"/>
      <c r="I31" s="51" t="n">
        <f aca="false">I28+I29+I30</f>
        <v>8053.4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19963.2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464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VIAJES!P9</f>
        <v>14328.8</v>
      </c>
    </row>
    <row r="35" customFormat="false" ht="15" hidden="false" customHeight="true" outlineLevel="0" collapsed="false">
      <c r="A35" s="49" t="s">
        <v>465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34292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466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2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4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20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354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367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34.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30</v>
      </c>
      <c r="E15" s="45" t="n">
        <f aca="false">B15*D15*IF(C15="GP1",gp1_ss,IF(C15="GP2",gp2_ss,IF(C15="GP3",gp3_ss,IF(C15="GP4",gp4_ss,IF(C15="GP5",gp5_ss,0)))))</f>
        <v>839.4</v>
      </c>
      <c r="F15" s="42" t="s">
        <v>467</v>
      </c>
      <c r="G15" s="43" t="n">
        <v>1</v>
      </c>
      <c r="H15" s="44" t="s">
        <v>392</v>
      </c>
      <c r="I15" s="43" t="n">
        <v>60</v>
      </c>
      <c r="J15" s="45" t="n">
        <f aca="false">G15*I15*IF(H15="GP1",gp1_ss,IF(H15="GP2",gp2_ss,IF(H15="GP3",gp3_ss,IF(H15="GP4",gp4_ss,IF(H15="GP5",gp5_ss,0)))))</f>
        <v>1678.8</v>
      </c>
      <c r="K15" s="42" t="s">
        <v>468</v>
      </c>
    </row>
    <row r="16" customFormat="false" ht="23.2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40</v>
      </c>
      <c r="E16" s="45" t="n">
        <f aca="false">B16*D16*IF(C16="GP1",gp1_ss,IF(C16="GP2",gp2_ss,IF(C16="GP3",gp3_ss,IF(C16="GP4",gp4_ss,IF(C16="GP5",gp5_ss,0)))))</f>
        <v>498.8</v>
      </c>
      <c r="F16" s="42" t="s">
        <v>469</v>
      </c>
      <c r="G16" s="43" t="n">
        <v>1</v>
      </c>
      <c r="H16" s="44" t="s">
        <v>396</v>
      </c>
      <c r="I16" s="43" t="n">
        <v>80</v>
      </c>
      <c r="J16" s="45" t="n">
        <f aca="false">G16*I16*IF(H16="GP1",gp1_ss,IF(H16="GP2",gp2_ss,IF(H16="GP3",gp3_ss,IF(H16="GP4",gp4_ss,IF(H16="GP5",gp5_ss,0)))))</f>
        <v>997.6</v>
      </c>
      <c r="K16" s="42" t="s">
        <v>470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34.5" hidden="false" customHeight="true" outlineLevel="0" collapsed="false">
      <c r="A19" s="42" t="s">
        <v>400</v>
      </c>
      <c r="B19" s="43" t="n">
        <v>1</v>
      </c>
      <c r="C19" s="44" t="s">
        <v>392</v>
      </c>
      <c r="D19" s="43" t="n">
        <v>88</v>
      </c>
      <c r="E19" s="45" t="n">
        <f aca="false">B19*D19*IF(C19="GP1",gp1_ss,IF(C19="GP2",gp2_ss,IF(C19="GP3",gp3_ss,IF(C19="GP4",gp4_ss,IF(C19="GP5",gp5_ss,0)))))</f>
        <v>2462.24</v>
      </c>
      <c r="F19" s="42" t="s">
        <v>471</v>
      </c>
      <c r="G19" s="43" t="n">
        <v>1</v>
      </c>
      <c r="H19" s="44" t="s">
        <v>392</v>
      </c>
      <c r="I19" s="43" t="n">
        <v>88</v>
      </c>
      <c r="J19" s="45" t="n">
        <f aca="false">G19*I19*IF(H19="GP1",gp1_ss,IF(H19="GP2",gp2_ss,IF(H19="GP3",gp3_ss,IF(H19="GP4",gp4_ss,IF(H19="GP5",gp5_ss,0)))))</f>
        <v>2462.24</v>
      </c>
      <c r="K19" s="42" t="s">
        <v>472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24</v>
      </c>
      <c r="E23" s="45" t="n">
        <f aca="false">B23*D23*IF(C23="GP1",gp1_ss,IF(C23="GP2",gp2_ss,IF(C23="GP3",gp3_ss,IF(C23="GP4",gp4_ss,IF(C23="GP5",gp5_ss,0)))))</f>
        <v>671.52</v>
      </c>
      <c r="F23" s="42" t="s">
        <v>406</v>
      </c>
      <c r="G23" s="43" t="n">
        <v>1</v>
      </c>
      <c r="H23" s="44" t="s">
        <v>392</v>
      </c>
      <c r="I23" s="43" t="n">
        <v>24</v>
      </c>
      <c r="J23" s="45" t="n">
        <f aca="false">G23*I23*IF(H23="GP1",gp1_ss,IF(H23="GP2",gp2_ss,IF(H23="GP3",gp3_ss,IF(H23="GP4",gp4_ss,IF(H23="GP5",gp5_ss,0)))))</f>
        <v>671.52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473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70</v>
      </c>
      <c r="C28" s="47"/>
      <c r="D28" s="48" t="n">
        <f aca="false">E15+E16</f>
        <v>1338.2</v>
      </c>
      <c r="E28" s="48"/>
      <c r="G28" s="47" t="n">
        <f aca="false">G15*I15+G16*I16</f>
        <v>140</v>
      </c>
      <c r="H28" s="47"/>
      <c r="I28" s="48" t="n">
        <f aca="false">J15+J16</f>
        <v>2676.4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88</v>
      </c>
      <c r="C29" s="47"/>
      <c r="D29" s="48" t="n">
        <f aca="false">E19+E20</f>
        <v>2462.24</v>
      </c>
      <c r="E29" s="48"/>
      <c r="G29" s="47" t="n">
        <f aca="false">G19*I19+G20*I20</f>
        <v>88</v>
      </c>
      <c r="H29" s="47"/>
      <c r="I29" s="48" t="n">
        <f aca="false">J19+J20</f>
        <v>2462.24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24</v>
      </c>
      <c r="C30" s="47"/>
      <c r="D30" s="48" t="n">
        <f aca="false">E23+E24</f>
        <v>671.52</v>
      </c>
      <c r="E30" s="48"/>
      <c r="G30" s="47" t="n">
        <f aca="false">G23*I23+G24*I24</f>
        <v>24</v>
      </c>
      <c r="H30" s="47"/>
      <c r="I30" s="48" t="n">
        <f aca="false">J23+J24</f>
        <v>671.52</v>
      </c>
      <c r="J30" s="48"/>
    </row>
    <row r="31" customFormat="false" ht="15" hidden="false" customHeight="true" outlineLevel="0" collapsed="false">
      <c r="A31" s="49" t="s">
        <v>474</v>
      </c>
      <c r="B31" s="50" t="n">
        <f aca="false">B28+B29+B30</f>
        <v>182</v>
      </c>
      <c r="C31" s="50"/>
      <c r="D31" s="51" t="n">
        <f aca="false">D28+D29+D30</f>
        <v>4471.96</v>
      </c>
      <c r="E31" s="51"/>
      <c r="F31" s="49"/>
      <c r="G31" s="50" t="n">
        <f aca="false">G28+G29+G30</f>
        <v>252</v>
      </c>
      <c r="H31" s="50"/>
      <c r="I31" s="51" t="n">
        <f aca="false">I28+I29+I30</f>
        <v>5810.16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10282.12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475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VIAJES!P10</f>
        <v>10597.6</v>
      </c>
    </row>
    <row r="35" customFormat="false" ht="15" hidden="false" customHeight="true" outlineLevel="0" collapsed="false">
      <c r="A35" s="49" t="s">
        <v>476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20879.72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"/>
    <col collapsed="false" customWidth="true" hidden="false" outlineLevel="0" max="3" min="3" style="1" width="8"/>
    <col collapsed="false" customWidth="true" hidden="false" outlineLevel="0" max="5" min="4" style="1" width="11"/>
    <col collapsed="false" customWidth="true" hidden="false" outlineLevel="0" max="6" min="6" style="1" width="38"/>
    <col collapsed="false" customWidth="true" hidden="false" outlineLevel="0" max="7" min="7" style="1" width="5"/>
    <col collapsed="false" customWidth="true" hidden="false" outlineLevel="0" max="8" min="8" style="1" width="8"/>
    <col collapsed="false" customWidth="true" hidden="false" outlineLevel="0" max="10" min="9" style="1" width="11"/>
    <col collapsed="false" customWidth="true" hidden="false" outlineLevel="0" max="11" min="11" style="1" width="38"/>
  </cols>
  <sheetData>
    <row r="1" customFormat="false" ht="15" hidden="false" customHeight="true" outlineLevel="0" collapsed="false">
      <c r="A1" s="34" t="s">
        <v>477</v>
      </c>
    </row>
    <row r="2" customFormat="false" ht="15" hidden="false" customHeight="true" outlineLevel="0" collapsed="false">
      <c r="A2" s="35" t="s">
        <v>374</v>
      </c>
    </row>
    <row r="4" customFormat="false" ht="15" hidden="false" customHeight="true" outlineLevel="0" collapsed="false">
      <c r="A4" s="36" t="s">
        <v>375</v>
      </c>
      <c r="B4" s="36"/>
      <c r="C4" s="36"/>
      <c r="D4" s="36"/>
      <c r="E4" s="36"/>
      <c r="F4" s="36"/>
      <c r="G4" s="36"/>
      <c r="H4" s="36"/>
      <c r="I4" s="36"/>
      <c r="J4" s="36"/>
      <c r="K4" s="36"/>
    </row>
    <row r="5" customFormat="false" ht="15" hidden="false" customHeight="true" outlineLevel="0" collapsed="false">
      <c r="A5" s="37" t="s">
        <v>335</v>
      </c>
      <c r="B5" s="38" t="n">
        <v>1</v>
      </c>
      <c r="D5" s="35" t="s">
        <v>376</v>
      </c>
    </row>
    <row r="6" customFormat="false" ht="15" hidden="false" customHeight="true" outlineLevel="0" collapsed="false">
      <c r="A6" s="37" t="s">
        <v>336</v>
      </c>
      <c r="B6" s="38" t="n">
        <v>1</v>
      </c>
      <c r="D6" s="35" t="s">
        <v>377</v>
      </c>
    </row>
    <row r="7" customFormat="false" ht="15" hidden="false" customHeight="true" outlineLevel="0" collapsed="false">
      <c r="A7" s="37" t="s">
        <v>378</v>
      </c>
      <c r="B7" s="38" t="n">
        <v>40</v>
      </c>
      <c r="D7" s="35" t="s">
        <v>379</v>
      </c>
    </row>
    <row r="8" customFormat="false" ht="15" hidden="false" customHeight="true" outlineLevel="0" collapsed="false">
      <c r="A8" s="37" t="s">
        <v>340</v>
      </c>
      <c r="B8" s="38" t="s">
        <v>354</v>
      </c>
      <c r="D8" s="35" t="s">
        <v>380</v>
      </c>
    </row>
    <row r="9" customFormat="false" ht="15" hidden="false" customHeight="true" outlineLevel="0" collapsed="false">
      <c r="A9" s="37" t="s">
        <v>341</v>
      </c>
      <c r="B9" s="38" t="s">
        <v>371</v>
      </c>
      <c r="D9" s="35" t="s">
        <v>381</v>
      </c>
    </row>
    <row r="11" customFormat="false" ht="15" hidden="false" customHeight="true" outlineLevel="0" collapsed="false">
      <c r="A11" s="36" t="s">
        <v>382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</row>
    <row r="12" customFormat="false" ht="15" hidden="false" customHeight="true" outlineLevel="0" collapsed="false">
      <c r="B12" s="39" t="s">
        <v>383</v>
      </c>
      <c r="C12" s="39"/>
      <c r="D12" s="39"/>
      <c r="E12" s="39"/>
      <c r="F12" s="39"/>
      <c r="G12" s="39" t="s">
        <v>384</v>
      </c>
      <c r="H12" s="39"/>
      <c r="I12" s="39"/>
      <c r="J12" s="39"/>
      <c r="K12" s="39"/>
    </row>
    <row r="13" customFormat="false" ht="15" hidden="false" customHeight="true" outlineLevel="0" collapsed="false">
      <c r="A13" s="40" t="s">
        <v>385</v>
      </c>
      <c r="B13" s="40" t="s">
        <v>386</v>
      </c>
      <c r="C13" s="40" t="s">
        <v>387</v>
      </c>
      <c r="D13" s="40" t="s">
        <v>388</v>
      </c>
      <c r="E13" s="40" t="s">
        <v>389</v>
      </c>
      <c r="F13" s="40" t="s">
        <v>390</v>
      </c>
      <c r="G13" s="40" t="s">
        <v>386</v>
      </c>
      <c r="H13" s="40" t="s">
        <v>387</v>
      </c>
      <c r="I13" s="40" t="s">
        <v>388</v>
      </c>
      <c r="J13" s="40" t="s">
        <v>389</v>
      </c>
      <c r="K13" s="40" t="s">
        <v>390</v>
      </c>
    </row>
    <row r="14" customFormat="false" ht="15" hidden="false" customHeight="true" outlineLevel="0" collapsed="false">
      <c r="A14" s="41" t="s">
        <v>222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23.25" hidden="false" customHeight="true" outlineLevel="0" collapsed="false">
      <c r="A15" s="42" t="s">
        <v>391</v>
      </c>
      <c r="B15" s="43" t="n">
        <v>1</v>
      </c>
      <c r="C15" s="44" t="s">
        <v>392</v>
      </c>
      <c r="D15" s="43" t="n">
        <v>10</v>
      </c>
      <c r="E15" s="45" t="n">
        <f aca="false">B15*D15*IF(C15="GP1",gp1_ss,IF(C15="GP2",gp2_ss,IF(C15="GP3",gp3_ss,IF(C15="GP4",gp4_ss,IF(C15="GP5",gp5_ss,0)))))</f>
        <v>279.8</v>
      </c>
      <c r="F15" s="42" t="s">
        <v>478</v>
      </c>
      <c r="G15" s="43" t="n">
        <v>1</v>
      </c>
      <c r="H15" s="44" t="s">
        <v>392</v>
      </c>
      <c r="I15" s="43" t="n">
        <v>10</v>
      </c>
      <c r="J15" s="45" t="n">
        <f aca="false">G15*I15*IF(H15="GP1",gp1_ss,IF(H15="GP2",gp2_ss,IF(H15="GP3",gp3_ss,IF(H15="GP4",gp4_ss,IF(H15="GP5",gp5_ss,0)))))</f>
        <v>279.8</v>
      </c>
      <c r="K15" s="42" t="s">
        <v>479</v>
      </c>
    </row>
    <row r="16" customFormat="false" ht="15" hidden="false" customHeight="true" outlineLevel="0" collapsed="false">
      <c r="A16" s="42" t="s">
        <v>395</v>
      </c>
      <c r="B16" s="43" t="n">
        <v>1</v>
      </c>
      <c r="C16" s="44" t="s">
        <v>396</v>
      </c>
      <c r="D16" s="43" t="n">
        <v>5</v>
      </c>
      <c r="E16" s="45" t="n">
        <f aca="false">B16*D16*IF(C16="GP1",gp1_ss,IF(C16="GP2",gp2_ss,IF(C16="GP3",gp3_ss,IF(C16="GP4",gp4_ss,IF(C16="GP5",gp5_ss,0)))))</f>
        <v>62.35</v>
      </c>
      <c r="F16" s="42" t="s">
        <v>480</v>
      </c>
      <c r="G16" s="43" t="n">
        <v>1</v>
      </c>
      <c r="H16" s="44" t="s">
        <v>396</v>
      </c>
      <c r="I16" s="43" t="n">
        <v>5</v>
      </c>
      <c r="J16" s="45" t="n">
        <f aca="false">G16*I16*IF(H16="GP1",gp1_ss,IF(H16="GP2",gp2_ss,IF(H16="GP3",gp3_ss,IF(H16="GP4",gp4_ss,IF(H16="GP5",gp5_ss,0)))))</f>
        <v>62.35</v>
      </c>
      <c r="K16" s="42" t="s">
        <v>481</v>
      </c>
    </row>
    <row r="18" customFormat="false" ht="15" hidden="false" customHeight="true" outlineLevel="0" collapsed="false">
      <c r="A18" s="41" t="s">
        <v>399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</row>
    <row r="19" customFormat="false" ht="23.25" hidden="false" customHeight="true" outlineLevel="0" collapsed="false">
      <c r="A19" s="42" t="s">
        <v>482</v>
      </c>
      <c r="B19" s="43" t="n">
        <v>1</v>
      </c>
      <c r="C19" s="44" t="s">
        <v>392</v>
      </c>
      <c r="D19" s="43" t="n">
        <v>20</v>
      </c>
      <c r="E19" s="45" t="n">
        <f aca="false">B19*D19*IF(C19="GP1",gp1_ss,IF(C19="GP2",gp2_ss,IF(C19="GP3",gp3_ss,IF(C19="GP4",gp4_ss,IF(C19="GP5",gp5_ss,0)))))</f>
        <v>559.6</v>
      </c>
      <c r="F19" s="42" t="s">
        <v>483</v>
      </c>
      <c r="G19" s="43" t="n">
        <v>1</v>
      </c>
      <c r="H19" s="44" t="s">
        <v>392</v>
      </c>
      <c r="I19" s="43" t="n">
        <v>20</v>
      </c>
      <c r="J19" s="45" t="n">
        <f aca="false">G19*I19*IF(H19="GP1",gp1_ss,IF(H19="GP2",gp2_ss,IF(H19="GP3",gp3_ss,IF(H19="GP4",gp4_ss,IF(H19="GP5",gp5_ss,0)))))</f>
        <v>559.6</v>
      </c>
      <c r="K19" s="42" t="s">
        <v>484</v>
      </c>
    </row>
    <row r="20" customFormat="false" ht="23.25" hidden="false" customHeight="true" outlineLevel="0" collapsed="false">
      <c r="A20" s="42" t="s">
        <v>403</v>
      </c>
      <c r="B20" s="43" t="n">
        <v>0</v>
      </c>
      <c r="C20" s="44" t="s">
        <v>396</v>
      </c>
      <c r="D20" s="43" t="n">
        <v>0</v>
      </c>
      <c r="E20" s="45" t="n">
        <f aca="false">B20*D20*IF(C20="GP1",gp1_ss,IF(C20="GP2",gp2_ss,IF(C20="GP3",gp3_ss,IF(C20="GP4",gp4_ss,IF(C20="GP5",gp5_ss,0)))))</f>
        <v>0</v>
      </c>
      <c r="F20" s="42"/>
      <c r="G20" s="43" t="n">
        <v>0</v>
      </c>
      <c r="H20" s="44" t="s">
        <v>396</v>
      </c>
      <c r="I20" s="43" t="n">
        <v>0</v>
      </c>
      <c r="J20" s="45" t="n">
        <f aca="false">G20*I20*IF(H20="GP1",gp1_ss,IF(H20="GP2",gp2_ss,IF(H20="GP3",gp3_ss,IF(H20="GP4",gp4_ss,IF(H20="GP5",gp5_ss,0)))))</f>
        <v>0</v>
      </c>
      <c r="K20" s="42"/>
    </row>
    <row r="22" customFormat="false" ht="15" hidden="false" customHeight="true" outlineLevel="0" collapsed="false">
      <c r="A22" s="41" t="s">
        <v>404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</row>
    <row r="23" customFormat="false" ht="23.25" hidden="false" customHeight="true" outlineLevel="0" collapsed="false">
      <c r="A23" s="42" t="s">
        <v>405</v>
      </c>
      <c r="B23" s="43" t="n">
        <v>1</v>
      </c>
      <c r="C23" s="44" t="s">
        <v>392</v>
      </c>
      <c r="D23" s="43" t="n">
        <v>8</v>
      </c>
      <c r="E23" s="45" t="n">
        <f aca="false">B23*D23*IF(C23="GP1",gp1_ss,IF(C23="GP2",gp2_ss,IF(C23="GP3",gp3_ss,IF(C23="GP4",gp4_ss,IF(C23="GP5",gp5_ss,0)))))</f>
        <v>223.84</v>
      </c>
      <c r="F23" s="42" t="s">
        <v>406</v>
      </c>
      <c r="G23" s="43" t="n">
        <v>1</v>
      </c>
      <c r="H23" s="44" t="s">
        <v>392</v>
      </c>
      <c r="I23" s="43" t="n">
        <v>8</v>
      </c>
      <c r="J23" s="45" t="n">
        <f aca="false">G23*I23*IF(H23="GP1",gp1_ss,IF(H23="GP2",gp2_ss,IF(H23="GP3",gp3_ss,IF(H23="GP4",gp4_ss,IF(H23="GP5",gp5_ss,0)))))</f>
        <v>223.84</v>
      </c>
      <c r="K23" s="42" t="s">
        <v>407</v>
      </c>
    </row>
    <row r="24" customFormat="false" ht="15" hidden="false" customHeight="true" outlineLevel="0" collapsed="false">
      <c r="A24" s="42" t="s">
        <v>408</v>
      </c>
      <c r="B24" s="43" t="n">
        <v>0</v>
      </c>
      <c r="C24" s="44" t="s">
        <v>396</v>
      </c>
      <c r="D24" s="43" t="n">
        <v>0</v>
      </c>
      <c r="E24" s="45" t="n">
        <f aca="false">B24*D24*IF(C24="GP1",gp1_ss,IF(C24="GP2",gp2_ss,IF(C24="GP3",gp3_ss,IF(C24="GP4",gp4_ss,IF(C24="GP5",gp5_ss,0)))))</f>
        <v>0</v>
      </c>
      <c r="F24" s="42"/>
      <c r="G24" s="43" t="n">
        <v>0</v>
      </c>
      <c r="H24" s="44" t="s">
        <v>396</v>
      </c>
      <c r="I24" s="43" t="n">
        <v>0</v>
      </c>
      <c r="J24" s="45" t="n">
        <f aca="false">G24*I24*IF(H24="GP1",gp1_ss,IF(H24="GP2",gp2_ss,IF(H24="GP3",gp3_ss,IF(H24="GP4",gp4_ss,IF(H24="GP5",gp5_ss,0)))))</f>
        <v>0</v>
      </c>
      <c r="K24" s="42"/>
    </row>
    <row r="26" customFormat="false" ht="15" hidden="false" customHeight="true" outlineLevel="0" collapsed="false">
      <c r="A26" s="36" t="s">
        <v>485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customFormat="false" ht="15" hidden="false" customHeight="true" outlineLevel="0" collapsed="false">
      <c r="A27" s="46" t="s">
        <v>410</v>
      </c>
      <c r="B27" s="39" t="s">
        <v>411</v>
      </c>
      <c r="C27" s="39"/>
      <c r="D27" s="39" t="s">
        <v>412</v>
      </c>
      <c r="E27" s="39"/>
      <c r="G27" s="39" t="s">
        <v>413</v>
      </c>
      <c r="H27" s="39"/>
      <c r="I27" s="39" t="s">
        <v>414</v>
      </c>
      <c r="J27" s="39"/>
    </row>
    <row r="28" customFormat="false" ht="15" hidden="false" customHeight="true" outlineLevel="0" collapsed="false">
      <c r="A28" s="1" t="s">
        <v>222</v>
      </c>
      <c r="B28" s="47" t="n">
        <f aca="false">B15*D15+B16*D16</f>
        <v>15</v>
      </c>
      <c r="C28" s="47"/>
      <c r="D28" s="48" t="n">
        <f aca="false">E15+E16</f>
        <v>342.15</v>
      </c>
      <c r="E28" s="48"/>
      <c r="G28" s="47" t="n">
        <f aca="false">G15*I15+G16*I16</f>
        <v>15</v>
      </c>
      <c r="H28" s="47"/>
      <c r="I28" s="48" t="n">
        <f aca="false">J15+J16</f>
        <v>342.15</v>
      </c>
      <c r="J28" s="48"/>
    </row>
    <row r="29" customFormat="false" ht="15" hidden="false" customHeight="true" outlineLevel="0" collapsed="false">
      <c r="A29" s="1" t="s">
        <v>399</v>
      </c>
      <c r="B29" s="47" t="n">
        <f aca="false">B19*D19+B20*D20</f>
        <v>20</v>
      </c>
      <c r="C29" s="47"/>
      <c r="D29" s="48" t="n">
        <f aca="false">E19+E20</f>
        <v>559.6</v>
      </c>
      <c r="E29" s="48"/>
      <c r="G29" s="47" t="n">
        <f aca="false">G19*I19+G20*I20</f>
        <v>20</v>
      </c>
      <c r="H29" s="47"/>
      <c r="I29" s="48" t="n">
        <f aca="false">J19+J20</f>
        <v>559.6</v>
      </c>
      <c r="J29" s="48"/>
    </row>
    <row r="30" customFormat="false" ht="15" hidden="false" customHeight="true" outlineLevel="0" collapsed="false">
      <c r="A30" s="1" t="s">
        <v>404</v>
      </c>
      <c r="B30" s="47" t="n">
        <f aca="false">B23*D23+B24*D24</f>
        <v>8</v>
      </c>
      <c r="C30" s="47"/>
      <c r="D30" s="48" t="n">
        <f aca="false">E23+E24</f>
        <v>223.84</v>
      </c>
      <c r="E30" s="48"/>
      <c r="G30" s="47" t="n">
        <f aca="false">G23*I23+G24*I24</f>
        <v>8</v>
      </c>
      <c r="H30" s="47"/>
      <c r="I30" s="48" t="n">
        <f aca="false">J23+J24</f>
        <v>223.84</v>
      </c>
      <c r="J30" s="48"/>
    </row>
    <row r="31" customFormat="false" ht="15" hidden="false" customHeight="true" outlineLevel="0" collapsed="false">
      <c r="A31" s="49" t="s">
        <v>486</v>
      </c>
      <c r="B31" s="50" t="n">
        <f aca="false">B28+B29+B30</f>
        <v>43</v>
      </c>
      <c r="C31" s="50"/>
      <c r="D31" s="51" t="n">
        <f aca="false">D28+D29+D30</f>
        <v>1125.59</v>
      </c>
      <c r="E31" s="51"/>
      <c r="F31" s="49"/>
      <c r="G31" s="50" t="n">
        <f aca="false">G28+G29+G30</f>
        <v>43</v>
      </c>
      <c r="H31" s="50"/>
      <c r="I31" s="51" t="n">
        <f aca="false">I28+I29+I30</f>
        <v>1125.59</v>
      </c>
      <c r="J31" s="51"/>
      <c r="K31" s="49"/>
    </row>
    <row r="32" customFormat="false" ht="15" hidden="false" customHeight="true" outlineLevel="0" collapsed="false">
      <c r="A32" s="49" t="s">
        <v>416</v>
      </c>
      <c r="B32" s="52"/>
      <c r="C32" s="52"/>
      <c r="D32" s="51" t="n">
        <f aca="false">D31+I31</f>
        <v>2251.18</v>
      </c>
      <c r="E32" s="51"/>
      <c r="F32" s="52"/>
      <c r="G32" s="52"/>
      <c r="H32" s="52"/>
      <c r="I32" s="52"/>
      <c r="J32" s="52"/>
      <c r="K32" s="52"/>
    </row>
    <row r="34" customFormat="false" ht="15" hidden="false" customHeight="true" outlineLevel="0" collapsed="false">
      <c r="A34" s="53" t="s">
        <v>487</v>
      </c>
      <c r="B34" s="53"/>
      <c r="C34" s="53"/>
      <c r="D34" s="53"/>
      <c r="E34" s="53"/>
      <c r="F34" s="53"/>
      <c r="G34" s="53"/>
      <c r="H34" s="53"/>
      <c r="I34" s="53"/>
      <c r="J34" s="54" t="n">
        <f aca="false">VIAJES!P11</f>
        <v>831.6</v>
      </c>
    </row>
    <row r="35" customFormat="false" ht="15" hidden="false" customHeight="true" outlineLevel="0" collapsed="false">
      <c r="A35" s="49" t="s">
        <v>488</v>
      </c>
      <c r="B35" s="52"/>
      <c r="C35" s="52"/>
      <c r="D35" s="52"/>
      <c r="E35" s="52"/>
      <c r="F35" s="52"/>
      <c r="G35" s="52"/>
      <c r="H35" s="52"/>
      <c r="I35" s="52"/>
      <c r="J35" s="55" t="n">
        <f aca="false">D32+J34</f>
        <v>3082.78</v>
      </c>
      <c r="K35" s="52"/>
    </row>
    <row r="37" customFormat="false" ht="15" hidden="false" customHeight="true" outlineLevel="0" collapsed="false">
      <c r="A37" s="53" t="s">
        <v>419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</row>
  </sheetData>
  <mergeCells count="31">
    <mergeCell ref="A4:K4"/>
    <mergeCell ref="A11:K11"/>
    <mergeCell ref="B12:F12"/>
    <mergeCell ref="G12:K12"/>
    <mergeCell ref="A14:K14"/>
    <mergeCell ref="A18:K18"/>
    <mergeCell ref="A22:K22"/>
    <mergeCell ref="A26:K26"/>
    <mergeCell ref="B27:C27"/>
    <mergeCell ref="D27:E27"/>
    <mergeCell ref="G27:H27"/>
    <mergeCell ref="I27:J27"/>
    <mergeCell ref="B28:C28"/>
    <mergeCell ref="D28:E28"/>
    <mergeCell ref="G28:H28"/>
    <mergeCell ref="I28:J28"/>
    <mergeCell ref="B29:C29"/>
    <mergeCell ref="D29:E29"/>
    <mergeCell ref="G29:H29"/>
    <mergeCell ref="I29:J29"/>
    <mergeCell ref="B30:C30"/>
    <mergeCell ref="D30:E30"/>
    <mergeCell ref="G30:H30"/>
    <mergeCell ref="I30:J30"/>
    <mergeCell ref="B31:C31"/>
    <mergeCell ref="D31:E31"/>
    <mergeCell ref="G31:H31"/>
    <mergeCell ref="I31:J31"/>
    <mergeCell ref="D32:E32"/>
    <mergeCell ref="A34:I34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0"/>
    <col collapsed="false" customWidth="true" hidden="false" outlineLevel="0" max="3" min="3" style="1" width="6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8"/>
    <col collapsed="false" customWidth="true" hidden="false" outlineLevel="0" max="8" min="7" style="1" width="11"/>
    <col collapsed="false" customWidth="true" hidden="false" outlineLevel="0" max="11" min="9" style="1" width="13"/>
  </cols>
  <sheetData>
    <row r="1" customFormat="false" ht="15" hidden="false" customHeight="true" outlineLevel="0" collapsed="false">
      <c r="A1" s="34" t="s">
        <v>489</v>
      </c>
    </row>
    <row r="2" customFormat="false" ht="15" hidden="false" customHeight="true" outlineLevel="0" collapsed="false">
      <c r="A2" s="35" t="s">
        <v>490</v>
      </c>
    </row>
    <row r="4" customFormat="false" ht="15" hidden="false" customHeight="true" outlineLevel="0" collapsed="false">
      <c r="A4" s="40" t="s">
        <v>332</v>
      </c>
      <c r="B4" s="40" t="s">
        <v>491</v>
      </c>
      <c r="C4" s="40" t="s">
        <v>335</v>
      </c>
      <c r="D4" s="40" t="s">
        <v>492</v>
      </c>
      <c r="E4" s="40" t="s">
        <v>493</v>
      </c>
      <c r="F4" s="40" t="s">
        <v>340</v>
      </c>
      <c r="G4" s="40" t="s">
        <v>494</v>
      </c>
      <c r="H4" s="40" t="s">
        <v>495</v>
      </c>
      <c r="I4" s="40" t="s">
        <v>496</v>
      </c>
      <c r="J4" s="40" t="s">
        <v>497</v>
      </c>
      <c r="K4" s="40" t="s">
        <v>498</v>
      </c>
    </row>
    <row r="5" customFormat="false" ht="15" hidden="false" customHeight="true" outlineLevel="0" collapsed="false">
      <c r="A5" s="37" t="s">
        <v>499</v>
      </c>
      <c r="B5" s="42" t="s">
        <v>344</v>
      </c>
      <c r="C5" s="44" t="n">
        <v>2</v>
      </c>
      <c r="D5" s="44" t="n">
        <v>1</v>
      </c>
      <c r="E5" s="44" t="n">
        <v>20</v>
      </c>
      <c r="F5" s="44" t="s">
        <v>345</v>
      </c>
      <c r="G5" s="56" t="n">
        <f aca="false">LL0!B31</f>
        <v>72</v>
      </c>
      <c r="H5" s="56" t="n">
        <f aca="false">LL0!G31</f>
        <v>72</v>
      </c>
      <c r="I5" s="54" t="n">
        <f aca="false">LL0!D32</f>
        <v>3780.96</v>
      </c>
      <c r="J5" s="54" t="n">
        <f aca="false">LL0!J34</f>
        <v>2764.4</v>
      </c>
      <c r="K5" s="57" t="n">
        <f aca="false">I5+J5</f>
        <v>6545.36</v>
      </c>
    </row>
    <row r="6" customFormat="false" ht="23.25" hidden="false" customHeight="true" outlineLevel="0" collapsed="false">
      <c r="A6" s="37" t="s">
        <v>500</v>
      </c>
      <c r="B6" s="42" t="s">
        <v>501</v>
      </c>
      <c r="C6" s="44" t="n">
        <v>10</v>
      </c>
      <c r="D6" s="44" t="n">
        <v>1</v>
      </c>
      <c r="E6" s="44" t="n">
        <v>27</v>
      </c>
      <c r="F6" s="44" t="s">
        <v>345</v>
      </c>
      <c r="G6" s="56" t="n">
        <f aca="false">LL1!B31</f>
        <v>356</v>
      </c>
      <c r="H6" s="56" t="n">
        <f aca="false">LL1!G31</f>
        <v>308</v>
      </c>
      <c r="I6" s="54" t="n">
        <f aca="false">LL1!D32</f>
        <v>18206.48</v>
      </c>
      <c r="J6" s="54" t="n">
        <f aca="false">LL1!J34</f>
        <v>11558.8</v>
      </c>
      <c r="K6" s="57" t="n">
        <f aca="false">I6+J6</f>
        <v>29765.28</v>
      </c>
    </row>
    <row r="7" customFormat="false" ht="23.25" hidden="false" customHeight="true" outlineLevel="0" collapsed="false">
      <c r="A7" s="37" t="s">
        <v>502</v>
      </c>
      <c r="B7" s="42" t="s">
        <v>353</v>
      </c>
      <c r="C7" s="44" t="n">
        <v>4</v>
      </c>
      <c r="D7" s="44" t="n">
        <v>1</v>
      </c>
      <c r="E7" s="44" t="n">
        <v>25</v>
      </c>
      <c r="F7" s="44" t="s">
        <v>354</v>
      </c>
      <c r="G7" s="56" t="n">
        <f aca="false">LL2!B31</f>
        <v>156</v>
      </c>
      <c r="H7" s="56" t="n">
        <f aca="false">LL2!G31</f>
        <v>108</v>
      </c>
      <c r="I7" s="54" t="n">
        <f aca="false">LL2!D32</f>
        <v>7169.58</v>
      </c>
      <c r="J7" s="54" t="n">
        <f aca="false">LL2!J34</f>
        <v>7929.4</v>
      </c>
      <c r="K7" s="57" t="n">
        <f aca="false">I7+J7</f>
        <v>15098.98</v>
      </c>
    </row>
    <row r="8" customFormat="false" ht="23.25" hidden="false" customHeight="true" outlineLevel="0" collapsed="false">
      <c r="A8" s="37" t="s">
        <v>503</v>
      </c>
      <c r="B8" s="42" t="s">
        <v>358</v>
      </c>
      <c r="C8" s="44" t="n">
        <v>10</v>
      </c>
      <c r="D8" s="44" t="n">
        <v>1</v>
      </c>
      <c r="E8" s="44" t="n">
        <v>25</v>
      </c>
      <c r="F8" s="44" t="s">
        <v>354</v>
      </c>
      <c r="G8" s="56" t="n">
        <f aca="false">LL3!B31</f>
        <v>370</v>
      </c>
      <c r="H8" s="56" t="n">
        <f aca="false">LL3!G31</f>
        <v>370</v>
      </c>
      <c r="I8" s="54" t="n">
        <f aca="false">LL3!D32</f>
        <v>17603.2</v>
      </c>
      <c r="J8" s="54" t="n">
        <f aca="false">LL3!J34</f>
        <v>15708.8</v>
      </c>
      <c r="K8" s="57" t="n">
        <f aca="false">I8+J8</f>
        <v>33312</v>
      </c>
    </row>
    <row r="9" customFormat="false" ht="23.25" hidden="false" customHeight="true" outlineLevel="0" collapsed="false">
      <c r="A9" s="37" t="s">
        <v>504</v>
      </c>
      <c r="B9" s="42" t="s">
        <v>362</v>
      </c>
      <c r="C9" s="44" t="n">
        <v>10</v>
      </c>
      <c r="D9" s="44" t="n">
        <v>1</v>
      </c>
      <c r="E9" s="44" t="n">
        <v>23</v>
      </c>
      <c r="F9" s="44" t="s">
        <v>354</v>
      </c>
      <c r="G9" s="56" t="n">
        <f aca="false">LL4!B31</f>
        <v>470</v>
      </c>
      <c r="H9" s="56" t="n">
        <f aca="false">LL4!G31</f>
        <v>310</v>
      </c>
      <c r="I9" s="54" t="n">
        <f aca="false">LL4!D32</f>
        <v>19963.2</v>
      </c>
      <c r="J9" s="54" t="n">
        <f aca="false">LL4!J34</f>
        <v>14328.8</v>
      </c>
      <c r="K9" s="57" t="n">
        <f aca="false">I9+J9</f>
        <v>34292</v>
      </c>
    </row>
    <row r="10" customFormat="false" ht="23.25" hidden="false" customHeight="true" outlineLevel="0" collapsed="false">
      <c r="A10" s="37" t="s">
        <v>505</v>
      </c>
      <c r="B10" s="42" t="s">
        <v>366</v>
      </c>
      <c r="C10" s="44" t="n">
        <v>2</v>
      </c>
      <c r="D10" s="44" t="n">
        <v>4</v>
      </c>
      <c r="E10" s="44" t="n">
        <v>20</v>
      </c>
      <c r="F10" s="44" t="s">
        <v>354</v>
      </c>
      <c r="G10" s="56" t="n">
        <f aca="false">LL5!B31</f>
        <v>182</v>
      </c>
      <c r="H10" s="56" t="n">
        <f aca="false">LL5!G31</f>
        <v>252</v>
      </c>
      <c r="I10" s="54" t="n">
        <f aca="false">LL5!D32</f>
        <v>10282.12</v>
      </c>
      <c r="J10" s="54" t="n">
        <f aca="false">LL5!J34</f>
        <v>10597.6</v>
      </c>
      <c r="K10" s="57" t="n">
        <f aca="false">I10+J10</f>
        <v>20879.72</v>
      </c>
    </row>
    <row r="11" customFormat="false" ht="23.25" hidden="false" customHeight="true" outlineLevel="0" collapsed="false">
      <c r="A11" s="37" t="s">
        <v>506</v>
      </c>
      <c r="B11" s="42" t="s">
        <v>370</v>
      </c>
      <c r="C11" s="44" t="n">
        <v>1</v>
      </c>
      <c r="D11" s="44" t="n">
        <v>1</v>
      </c>
      <c r="E11" s="44" t="n">
        <v>40</v>
      </c>
      <c r="F11" s="44" t="s">
        <v>354</v>
      </c>
      <c r="G11" s="56" t="n">
        <f aca="false">LL6!B31</f>
        <v>43</v>
      </c>
      <c r="H11" s="56" t="n">
        <f aca="false">LL6!G31</f>
        <v>43</v>
      </c>
      <c r="I11" s="54" t="n">
        <f aca="false">LL6!D32</f>
        <v>2251.18</v>
      </c>
      <c r="J11" s="54" t="n">
        <f aca="false">LL6!J34</f>
        <v>831.6</v>
      </c>
      <c r="K11" s="57" t="n">
        <f aca="false">I11+J11</f>
        <v>3082.78</v>
      </c>
    </row>
    <row r="12" customFormat="false" ht="15" hidden="false" customHeight="true" outlineLevel="0" collapsed="false">
      <c r="A12" s="52"/>
      <c r="B12" s="49" t="s">
        <v>507</v>
      </c>
      <c r="C12" s="52"/>
      <c r="D12" s="52"/>
      <c r="E12" s="52"/>
      <c r="F12" s="52"/>
      <c r="G12" s="49" t="n">
        <f aca="false">SUM(G5:G11)</f>
        <v>1649</v>
      </c>
      <c r="H12" s="49" t="n">
        <f aca="false">SUM(H5:H11)</f>
        <v>1463</v>
      </c>
      <c r="I12" s="55" t="n">
        <f aca="false">SUM(I5:I11)</f>
        <v>79256.72</v>
      </c>
      <c r="J12" s="55" t="n">
        <f aca="false">SUM(J5:J11)</f>
        <v>63719.4</v>
      </c>
      <c r="K12" s="55" t="n">
        <f aca="false">SUM(K5:K11)</f>
        <v>142976.12</v>
      </c>
    </row>
    <row r="14" customFormat="false" ht="15" hidden="false" customHeight="true" outlineLevel="0" collapsed="false">
      <c r="A14" s="53" t="s">
        <v>508</v>
      </c>
      <c r="B14" s="53"/>
      <c r="C14" s="53"/>
      <c r="D14" s="53"/>
      <c r="E14" s="53"/>
      <c r="F14" s="53"/>
      <c r="G14" s="53"/>
      <c r="H14" s="53"/>
      <c r="I14" s="53"/>
      <c r="J14" s="53"/>
      <c r="K14" s="53"/>
    </row>
  </sheetData>
  <mergeCells count="1">
    <mergeCell ref="A14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8"/>
    <col collapsed="false" customWidth="true" hidden="false" outlineLevel="0" max="8" min="3" style="1" width="11"/>
    <col collapsed="false" customWidth="true" hidden="false" outlineLevel="0" max="14" min="9" style="1" width="12"/>
  </cols>
  <sheetData>
    <row r="1" customFormat="false" ht="25.5" hidden="false" customHeight="true" outlineLevel="0" collapsed="false">
      <c r="A1" s="26" t="s">
        <v>509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" hidden="false" customHeight="true" outlineLevel="0" collapsed="false">
      <c r="A2" s="28" t="s">
        <v>510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tru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15" hidden="false" customHeight="true" outlineLevel="0" collapsed="false">
      <c r="A4" s="58" t="s">
        <v>511</v>
      </c>
      <c r="B4" s="27"/>
      <c r="C4" s="27"/>
      <c r="D4" s="27"/>
      <c r="E4" s="27"/>
      <c r="F4" s="27"/>
      <c r="G4" s="27"/>
      <c r="H4" s="27"/>
      <c r="I4" s="27"/>
      <c r="J4" s="27"/>
      <c r="K4" s="27"/>
    </row>
    <row r="5" customFormat="false" ht="23.25" hidden="false" customHeight="true" outlineLevel="0" collapsed="false">
      <c r="A5" s="29" t="s">
        <v>332</v>
      </c>
      <c r="B5" s="29" t="s">
        <v>333</v>
      </c>
      <c r="C5" s="29" t="s">
        <v>512</v>
      </c>
      <c r="D5" s="29" t="s">
        <v>513</v>
      </c>
      <c r="E5" s="29" t="s">
        <v>514</v>
      </c>
      <c r="F5" s="29" t="s">
        <v>515</v>
      </c>
      <c r="G5" s="29" t="s">
        <v>516</v>
      </c>
      <c r="H5" s="29" t="s">
        <v>517</v>
      </c>
      <c r="I5" s="29" t="s">
        <v>412</v>
      </c>
      <c r="J5" s="29" t="s">
        <v>414</v>
      </c>
      <c r="K5" s="29" t="s">
        <v>518</v>
      </c>
    </row>
    <row r="6" customFormat="false" ht="15" hidden="false" customHeight="true" outlineLevel="0" collapsed="false">
      <c r="A6" s="30" t="s">
        <v>342</v>
      </c>
      <c r="B6" s="59" t="str">
        <f aca="false">VLOOKUP(A6,ACTIVIDADES!$A$5:$B$50,2,FALSE())</f>
        <v>F0 · NEB + Morisca</v>
      </c>
      <c r="C6" s="32" t="n">
        <v>4</v>
      </c>
      <c r="D6" s="32" t="n">
        <v>4</v>
      </c>
      <c r="E6" s="32" t="n">
        <v>2</v>
      </c>
      <c r="F6" s="32" t="n">
        <v>2</v>
      </c>
      <c r="G6" s="32" t="n">
        <v>6</v>
      </c>
      <c r="H6" s="32" t="n">
        <v>0</v>
      </c>
      <c r="I6" s="60" t="n">
        <f aca="false">C6*gp1_ss+E6*gp5_ss</f>
        <v>136.86</v>
      </c>
      <c r="J6" s="60" t="n">
        <f aca="false">D6*gp1_ss+F6*gp5_ss</f>
        <v>136.86</v>
      </c>
      <c r="K6" s="60" t="n">
        <f aca="false">I6+J6</f>
        <v>273.72</v>
      </c>
    </row>
    <row r="7" customFormat="false" ht="15" hidden="false" customHeight="true" outlineLevel="0" collapsed="false">
      <c r="A7" s="30" t="s">
        <v>347</v>
      </c>
      <c r="B7" s="59" t="str">
        <f aca="false">VLOOKUP(A7,ACTIVIDADES!$A$5:$B$50,2,FALSE())</f>
        <v>F1 · CUE+SIG + COPRODELI-IA</v>
      </c>
      <c r="C7" s="32" t="n">
        <v>250</v>
      </c>
      <c r="D7" s="32" t="n">
        <v>100</v>
      </c>
      <c r="E7" s="32" t="n">
        <v>30</v>
      </c>
      <c r="F7" s="32" t="n">
        <v>10</v>
      </c>
      <c r="G7" s="32" t="n">
        <v>40</v>
      </c>
      <c r="H7" s="32" t="n">
        <v>0</v>
      </c>
      <c r="I7" s="60" t="n">
        <f aca="false">C7*gp1_ss+E7*gp5_ss</f>
        <v>7369.1</v>
      </c>
      <c r="J7" s="60" t="n">
        <f aca="false">D7*gp1_ss+F7*gp5_ss</f>
        <v>2922.7</v>
      </c>
      <c r="K7" s="60" t="n">
        <f aca="false">I7+J7</f>
        <v>10291.8</v>
      </c>
    </row>
    <row r="8" customFormat="false" ht="15" hidden="false" customHeight="true" outlineLevel="0" collapsed="false">
      <c r="A8" s="30" t="s">
        <v>351</v>
      </c>
      <c r="B8" s="59" t="str">
        <f aca="false">VLOOKUP(A8,ACTIVIDADES!$A$5:$B$50,2,FALSE())</f>
        <v>F2 · Drones agrarios</v>
      </c>
      <c r="C8" s="32" t="n">
        <v>60</v>
      </c>
      <c r="D8" s="32" t="n">
        <v>8</v>
      </c>
      <c r="E8" s="32" t="n">
        <v>10</v>
      </c>
      <c r="F8" s="32" t="n">
        <v>4</v>
      </c>
      <c r="G8" s="32" t="n">
        <v>20</v>
      </c>
      <c r="H8" s="32" t="n">
        <v>0</v>
      </c>
      <c r="I8" s="60" t="n">
        <f aca="false">C8*gp1_ss+E8*gp5_ss</f>
        <v>1803.5</v>
      </c>
      <c r="J8" s="60" t="n">
        <f aca="false">D8*gp1_ss+F8*gp5_ss</f>
        <v>273.72</v>
      </c>
      <c r="K8" s="60" t="n">
        <f aca="false">I8+J8</f>
        <v>2077.22</v>
      </c>
    </row>
    <row r="9" customFormat="false" ht="15" hidden="false" customHeight="true" outlineLevel="0" collapsed="false">
      <c r="A9" s="30" t="s">
        <v>356</v>
      </c>
      <c r="B9" s="59" t="str">
        <f aca="false">VLOOKUP(A9,ACTIVIDADES!$A$5:$B$50,2,FALSE())</f>
        <v>F3 · Domo + Diseño</v>
      </c>
      <c r="C9" s="32" t="n">
        <v>30</v>
      </c>
      <c r="D9" s="32" t="n">
        <v>30</v>
      </c>
      <c r="E9" s="32" t="n">
        <v>100</v>
      </c>
      <c r="F9" s="32" t="n">
        <v>100</v>
      </c>
      <c r="G9" s="32" t="n">
        <v>60</v>
      </c>
      <c r="H9" s="32" t="n">
        <v>0</v>
      </c>
      <c r="I9" s="60" t="n">
        <f aca="false">C9*gp1_ss+E9*gp5_ss</f>
        <v>2086.4</v>
      </c>
      <c r="J9" s="60" t="n">
        <f aca="false">D9*gp1_ss+F9*gp5_ss</f>
        <v>2086.4</v>
      </c>
      <c r="K9" s="60" t="n">
        <f aca="false">I9+J9</f>
        <v>4172.8</v>
      </c>
    </row>
    <row r="10" customFormat="false" ht="15" hidden="false" customHeight="true" outlineLevel="0" collapsed="false">
      <c r="A10" s="30" t="s">
        <v>360</v>
      </c>
      <c r="B10" s="59" t="str">
        <f aca="false">VLOOKUP(A10,ACTIVIDADES!$A$5:$B$50,2,FALSE())</f>
        <v>F4 · Sensórica + FV + Com.</v>
      </c>
      <c r="C10" s="32" t="n">
        <v>150</v>
      </c>
      <c r="D10" s="32" t="n">
        <v>30</v>
      </c>
      <c r="E10" s="32" t="n">
        <v>80</v>
      </c>
      <c r="F10" s="32" t="n">
        <v>40</v>
      </c>
      <c r="G10" s="32" t="n">
        <v>40</v>
      </c>
      <c r="H10" s="32" t="n">
        <v>0</v>
      </c>
      <c r="I10" s="60" t="n">
        <f aca="false">C10*gp1_ss+E10*gp5_ss</f>
        <v>5194.6</v>
      </c>
      <c r="J10" s="60" t="n">
        <f aca="false">D10*gp1_ss+F10*gp5_ss</f>
        <v>1338.2</v>
      </c>
      <c r="K10" s="60" t="n">
        <f aca="false">I10+J10</f>
        <v>6532.8</v>
      </c>
    </row>
    <row r="11" customFormat="false" ht="15" hidden="false" customHeight="true" outlineLevel="0" collapsed="false">
      <c r="A11" s="30" t="s">
        <v>364</v>
      </c>
      <c r="B11" s="59" t="str">
        <f aca="false">VLOOKUP(A11,ACTIVIDADES!$A$5:$B$50,2,FALSE())</f>
        <v>F5 · Ciclo productivo</v>
      </c>
      <c r="C11" s="32" t="n">
        <v>30</v>
      </c>
      <c r="D11" s="32" t="n">
        <v>60</v>
      </c>
      <c r="E11" s="32" t="n">
        <v>40</v>
      </c>
      <c r="F11" s="32" t="n">
        <v>80</v>
      </c>
      <c r="G11" s="32" t="n">
        <v>40</v>
      </c>
      <c r="H11" s="32" t="n">
        <v>0</v>
      </c>
      <c r="I11" s="60" t="n">
        <f aca="false">C11*gp1_ss+E11*gp5_ss</f>
        <v>1338.2</v>
      </c>
      <c r="J11" s="60" t="n">
        <f aca="false">D11*gp1_ss+F11*gp5_ss</f>
        <v>2676.4</v>
      </c>
      <c r="K11" s="60" t="n">
        <f aca="false">I11+J11</f>
        <v>4014.6</v>
      </c>
    </row>
    <row r="12" customFormat="false" ht="15" hidden="false" customHeight="true" outlineLevel="0" collapsed="false">
      <c r="A12" s="30" t="s">
        <v>368</v>
      </c>
      <c r="B12" s="59" t="str">
        <f aca="false">VLOOKUP(A12,ACTIVIDADES!$A$5:$B$50,2,FALSE())</f>
        <v>F6 · Cierre</v>
      </c>
      <c r="C12" s="32" t="n">
        <v>10</v>
      </c>
      <c r="D12" s="32" t="n">
        <v>10</v>
      </c>
      <c r="E12" s="32" t="n">
        <v>5</v>
      </c>
      <c r="F12" s="32" t="n">
        <v>5</v>
      </c>
      <c r="G12" s="32" t="n">
        <v>6</v>
      </c>
      <c r="H12" s="32" t="n">
        <v>0</v>
      </c>
      <c r="I12" s="60" t="n">
        <f aca="false">C12*gp1_ss+E12*gp5_ss</f>
        <v>342.15</v>
      </c>
      <c r="J12" s="60" t="n">
        <f aca="false">D12*gp1_ss+F12*gp5_ss</f>
        <v>342.15</v>
      </c>
      <c r="K12" s="60" t="n">
        <f aca="false">I12+J12</f>
        <v>684.3</v>
      </c>
    </row>
    <row r="13" customFormat="false" ht="15" hidden="false" customHeight="true" outlineLevel="0" collapsed="false">
      <c r="A13" s="33"/>
      <c r="B13" s="33" t="s">
        <v>519</v>
      </c>
      <c r="C13" s="33" t="n">
        <f aca="false">SUM(C6:C12)</f>
        <v>534</v>
      </c>
      <c r="D13" s="33" t="n">
        <f aca="false">SUM(D6:D12)</f>
        <v>242</v>
      </c>
      <c r="E13" s="33" t="n">
        <f aca="false">SUM(E6:E12)</f>
        <v>267</v>
      </c>
      <c r="F13" s="33" t="n">
        <f aca="false">SUM(F6:F12)</f>
        <v>241</v>
      </c>
      <c r="G13" s="33" t="n">
        <f aca="false">SUM(G6:G12)</f>
        <v>212</v>
      </c>
      <c r="H13" s="33" t="n">
        <f aca="false">SUM(H6:H12)</f>
        <v>0</v>
      </c>
      <c r="I13" s="61" t="n">
        <f aca="false">SUM(I6:I12)</f>
        <v>18270.81</v>
      </c>
      <c r="J13" s="61" t="n">
        <f aca="false">SUM(J6:J12)</f>
        <v>9776.43</v>
      </c>
      <c r="K13" s="61" t="n">
        <f aca="false">SUM(K6:K12)</f>
        <v>28047.24</v>
      </c>
    </row>
    <row r="14" customFormat="false" ht="15" hidden="false" customHeight="true" outlineLevel="0" collapsed="false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</row>
    <row r="15" customFormat="false" ht="15" hidden="false" customHeight="true" outlineLevel="0" collapsed="false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</row>
    <row r="16" customFormat="false" ht="15" hidden="false" customHeight="true" outlineLevel="0" collapsed="false">
      <c r="A16" s="62" t="s">
        <v>520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</row>
    <row r="17" customFormat="false" ht="15" hidden="false" customHeight="true" outlineLevel="0" collapsed="false">
      <c r="A17" s="29" t="s">
        <v>332</v>
      </c>
      <c r="B17" s="29" t="s">
        <v>333</v>
      </c>
      <c r="C17" s="29" t="s">
        <v>521</v>
      </c>
      <c r="D17" s="29" t="s">
        <v>522</v>
      </c>
      <c r="E17" s="29" t="s">
        <v>523</v>
      </c>
      <c r="F17" s="29" t="s">
        <v>524</v>
      </c>
      <c r="G17" s="29" t="s">
        <v>525</v>
      </c>
      <c r="H17" s="29" t="s">
        <v>526</v>
      </c>
      <c r="I17" s="29" t="s">
        <v>412</v>
      </c>
      <c r="J17" s="29" t="s">
        <v>414</v>
      </c>
      <c r="K17" s="29" t="s">
        <v>518</v>
      </c>
    </row>
    <row r="18" customFormat="false" ht="15" hidden="false" customHeight="true" outlineLevel="0" collapsed="false">
      <c r="A18" s="30" t="s">
        <v>342</v>
      </c>
      <c r="B18" s="59" t="str">
        <f aca="false">VLOOKUP(A18,ACTIVIDADES!$A$5:$B$50,2,FALSE())</f>
        <v>F0 · NEB + Morisca</v>
      </c>
      <c r="C18" s="32" t="n">
        <v>6</v>
      </c>
      <c r="D18" s="32" t="n">
        <v>8</v>
      </c>
      <c r="E18" s="32" t="n">
        <v>9</v>
      </c>
      <c r="F18" s="32" t="n">
        <v>12</v>
      </c>
      <c r="G18" s="30" t="n">
        <f aca="false">C18+E18</f>
        <v>15</v>
      </c>
      <c r="H18" s="30" t="n">
        <f aca="false">D18+F18</f>
        <v>20</v>
      </c>
      <c r="I18" s="60" t="n">
        <f aca="false">G18*gp1_ss</f>
        <v>419.7</v>
      </c>
      <c r="J18" s="60" t="n">
        <f aca="false">H18*gp1_ss</f>
        <v>559.6</v>
      </c>
      <c r="K18" s="60" t="n">
        <f aca="false">I18+J18</f>
        <v>979.3</v>
      </c>
    </row>
    <row r="19" customFormat="false" ht="15" hidden="false" customHeight="true" outlineLevel="0" collapsed="false">
      <c r="A19" s="30" t="s">
        <v>347</v>
      </c>
      <c r="B19" s="59" t="str">
        <f aca="false">VLOOKUP(A19,ACTIVIDADES!$A$5:$B$50,2,FALSE())</f>
        <v>F1 · CUE+SIG + COPRODELI-IA</v>
      </c>
      <c r="C19" s="32" t="n">
        <v>25</v>
      </c>
      <c r="D19" s="32" t="n">
        <v>20</v>
      </c>
      <c r="E19" s="32" t="n">
        <v>60</v>
      </c>
      <c r="F19" s="32" t="n">
        <v>40</v>
      </c>
      <c r="G19" s="30" t="n">
        <f aca="false">C19+E19</f>
        <v>85</v>
      </c>
      <c r="H19" s="30" t="n">
        <f aca="false">D19+F19</f>
        <v>60</v>
      </c>
      <c r="I19" s="60" t="n">
        <f aca="false">G19*gp1_ss</f>
        <v>2378.3</v>
      </c>
      <c r="J19" s="60" t="n">
        <f aca="false">H19*gp1_ss</f>
        <v>1678.8</v>
      </c>
      <c r="K19" s="60" t="n">
        <f aca="false">I19+J19</f>
        <v>4057.1</v>
      </c>
    </row>
    <row r="20" customFormat="false" ht="15" hidden="false" customHeight="true" outlineLevel="0" collapsed="false">
      <c r="A20" s="30" t="s">
        <v>351</v>
      </c>
      <c r="B20" s="59" t="str">
        <f aca="false">VLOOKUP(A20,ACTIVIDADES!$A$5:$B$50,2,FALSE())</f>
        <v>F2 · Drones agrarios</v>
      </c>
      <c r="C20" s="32" t="n">
        <v>12</v>
      </c>
      <c r="D20" s="32" t="n">
        <v>4</v>
      </c>
      <c r="E20" s="32" t="n">
        <v>30</v>
      </c>
      <c r="F20" s="32" t="n">
        <v>6</v>
      </c>
      <c r="G20" s="30" t="n">
        <f aca="false">C20+E20</f>
        <v>42</v>
      </c>
      <c r="H20" s="30" t="n">
        <f aca="false">D20+F20</f>
        <v>10</v>
      </c>
      <c r="I20" s="60" t="n">
        <f aca="false">G20*gp1_ss</f>
        <v>1175.16</v>
      </c>
      <c r="J20" s="60" t="n">
        <f aca="false">H20*gp1_ss</f>
        <v>279.8</v>
      </c>
      <c r="K20" s="60" t="n">
        <f aca="false">I20+J20</f>
        <v>1454.96</v>
      </c>
    </row>
    <row r="21" customFormat="false" ht="15" hidden="false" customHeight="true" outlineLevel="0" collapsed="false">
      <c r="A21" s="30" t="s">
        <v>356</v>
      </c>
      <c r="B21" s="59" t="str">
        <f aca="false">VLOOKUP(A21,ACTIVIDADES!$A$5:$B$50,2,FALSE())</f>
        <v>F3 · Domo + Diseño</v>
      </c>
      <c r="C21" s="32" t="n">
        <v>20</v>
      </c>
      <c r="D21" s="32" t="n">
        <v>20</v>
      </c>
      <c r="E21" s="32" t="n">
        <v>40</v>
      </c>
      <c r="F21" s="32" t="n">
        <v>40</v>
      </c>
      <c r="G21" s="30" t="n">
        <f aca="false">C21+E21</f>
        <v>60</v>
      </c>
      <c r="H21" s="30" t="n">
        <f aca="false">D21+F21</f>
        <v>60</v>
      </c>
      <c r="I21" s="60" t="n">
        <f aca="false">G21*gp1_ss</f>
        <v>1678.8</v>
      </c>
      <c r="J21" s="60" t="n">
        <f aca="false">H21*gp1_ss</f>
        <v>1678.8</v>
      </c>
      <c r="K21" s="60" t="n">
        <f aca="false">I21+J21</f>
        <v>3357.6</v>
      </c>
    </row>
    <row r="22" customFormat="false" ht="15" hidden="false" customHeight="true" outlineLevel="0" collapsed="false">
      <c r="A22" s="30" t="s">
        <v>360</v>
      </c>
      <c r="B22" s="59" t="str">
        <f aca="false">VLOOKUP(A22,ACTIVIDADES!$A$5:$B$50,2,FALSE())</f>
        <v>F4 · Sensórica + FV + Com.</v>
      </c>
      <c r="C22" s="32" t="n">
        <v>30</v>
      </c>
      <c r="D22" s="32" t="n">
        <v>8</v>
      </c>
      <c r="E22" s="32" t="n">
        <v>60</v>
      </c>
      <c r="F22" s="32" t="n">
        <v>12</v>
      </c>
      <c r="G22" s="30" t="n">
        <f aca="false">C22+E22</f>
        <v>90</v>
      </c>
      <c r="H22" s="30" t="n">
        <f aca="false">D22+F22</f>
        <v>20</v>
      </c>
      <c r="I22" s="60" t="n">
        <f aca="false">G22*gp1_ss</f>
        <v>2518.2</v>
      </c>
      <c r="J22" s="60" t="n">
        <f aca="false">H22*gp1_ss</f>
        <v>559.6</v>
      </c>
      <c r="K22" s="60" t="n">
        <f aca="false">I22+J22</f>
        <v>3077.8</v>
      </c>
    </row>
    <row r="23" customFormat="false" ht="15" hidden="false" customHeight="true" outlineLevel="0" collapsed="false">
      <c r="A23" s="30" t="s">
        <v>364</v>
      </c>
      <c r="B23" s="59" t="str">
        <f aca="false">VLOOKUP(A23,ACTIVIDADES!$A$5:$B$50,2,FALSE())</f>
        <v>F5 · Ciclo productivo</v>
      </c>
      <c r="C23" s="32" t="n">
        <v>8</v>
      </c>
      <c r="D23" s="32" t="n">
        <v>20</v>
      </c>
      <c r="E23" s="32" t="n">
        <v>12</v>
      </c>
      <c r="F23" s="32" t="n">
        <v>30</v>
      </c>
      <c r="G23" s="30" t="n">
        <f aca="false">C23+E23</f>
        <v>20</v>
      </c>
      <c r="H23" s="30" t="n">
        <f aca="false">D23+F23</f>
        <v>50</v>
      </c>
      <c r="I23" s="60" t="n">
        <f aca="false">G23*gp1_ss</f>
        <v>559.6</v>
      </c>
      <c r="J23" s="60" t="n">
        <f aca="false">H23*gp1_ss</f>
        <v>1399</v>
      </c>
      <c r="K23" s="60" t="n">
        <f aca="false">I23+J23</f>
        <v>1958.6</v>
      </c>
    </row>
    <row r="24" customFormat="false" ht="15" hidden="false" customHeight="true" outlineLevel="0" collapsed="false">
      <c r="A24" s="30" t="s">
        <v>368</v>
      </c>
      <c r="B24" s="59" t="str">
        <f aca="false">VLOOKUP(A24,ACTIVIDADES!$A$5:$B$50,2,FALSE())</f>
        <v>F6 · Cierre</v>
      </c>
      <c r="C24" s="32" t="n">
        <v>4</v>
      </c>
      <c r="D24" s="32" t="n">
        <v>4</v>
      </c>
      <c r="E24" s="32" t="n">
        <v>6</v>
      </c>
      <c r="F24" s="32" t="n">
        <v>6</v>
      </c>
      <c r="G24" s="30" t="n">
        <f aca="false">C24+E24</f>
        <v>10</v>
      </c>
      <c r="H24" s="30" t="n">
        <f aca="false">D24+F24</f>
        <v>10</v>
      </c>
      <c r="I24" s="60" t="n">
        <f aca="false">G24*gp1_ss</f>
        <v>279.8</v>
      </c>
      <c r="J24" s="60" t="n">
        <f aca="false">H24*gp1_ss</f>
        <v>279.8</v>
      </c>
      <c r="K24" s="60" t="n">
        <f aca="false">I24+J24</f>
        <v>559.6</v>
      </c>
    </row>
    <row r="25" customFormat="false" ht="15" hidden="false" customHeight="true" outlineLevel="0" collapsed="false">
      <c r="A25" s="33"/>
      <c r="B25" s="33" t="s">
        <v>527</v>
      </c>
      <c r="C25" s="33" t="n">
        <f aca="false">SUM(C18:C24)</f>
        <v>105</v>
      </c>
      <c r="D25" s="33" t="n">
        <f aca="false">SUM(D18:D24)</f>
        <v>84</v>
      </c>
      <c r="E25" s="33" t="n">
        <f aca="false">SUM(E18:E24)</f>
        <v>217</v>
      </c>
      <c r="F25" s="33" t="n">
        <f aca="false">SUM(F18:F24)</f>
        <v>146</v>
      </c>
      <c r="G25" s="33" t="n">
        <f aca="false">SUM(G18:G24)</f>
        <v>322</v>
      </c>
      <c r="H25" s="33" t="n">
        <f aca="false">SUM(H18:H24)</f>
        <v>230</v>
      </c>
      <c r="I25" s="61" t="n">
        <f aca="false">SUM(I18:I24)</f>
        <v>9009.56</v>
      </c>
      <c r="J25" s="61" t="n">
        <f aca="false">SUM(J18:J24)</f>
        <v>6435.4</v>
      </c>
      <c r="K25" s="61" t="n">
        <f aca="false">SUM(K18:K24)</f>
        <v>15444.96</v>
      </c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</row>
    <row r="28" customFormat="false" ht="15" hidden="false" customHeight="true" outlineLevel="0" collapsed="false">
      <c r="A28" s="62" t="s">
        <v>528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</row>
    <row r="29" customFormat="false" ht="15" hidden="false" customHeight="true" outlineLevel="0" collapsed="false">
      <c r="A29" s="29" t="s">
        <v>332</v>
      </c>
      <c r="B29" s="29" t="s">
        <v>48</v>
      </c>
      <c r="C29" s="29" t="s">
        <v>529</v>
      </c>
      <c r="D29" s="29" t="s">
        <v>530</v>
      </c>
      <c r="E29" s="29" t="s">
        <v>531</v>
      </c>
      <c r="F29" s="29" t="s">
        <v>412</v>
      </c>
      <c r="G29" s="29" t="s">
        <v>414</v>
      </c>
      <c r="H29" s="29" t="s">
        <v>518</v>
      </c>
      <c r="I29" s="30"/>
      <c r="J29" s="30"/>
      <c r="K29" s="30"/>
    </row>
    <row r="30" customFormat="false" ht="15" hidden="false" customHeight="true" outlineLevel="0" collapsed="false">
      <c r="A30" s="30" t="s">
        <v>138</v>
      </c>
      <c r="B30" s="30" t="s">
        <v>532</v>
      </c>
      <c r="C30" s="32" t="n">
        <v>0</v>
      </c>
      <c r="D30" s="32" t="n">
        <v>0</v>
      </c>
      <c r="E30" s="30" t="n">
        <f aca="false">C30+D30</f>
        <v>0</v>
      </c>
      <c r="F30" s="60" t="n">
        <f aca="false">C30*ext_h</f>
        <v>0</v>
      </c>
      <c r="G30" s="60" t="n">
        <f aca="false">D30*ext_h</f>
        <v>0</v>
      </c>
      <c r="H30" s="60" t="n">
        <f aca="false">F30+G30</f>
        <v>0</v>
      </c>
      <c r="I30" s="30"/>
      <c r="J30" s="30"/>
      <c r="K30" s="30"/>
    </row>
    <row r="31" customFormat="false" ht="15" hidden="false" customHeight="true" outlineLevel="0" collapsed="false">
      <c r="A31" s="30" t="s">
        <v>138</v>
      </c>
      <c r="B31" s="30" t="s">
        <v>532</v>
      </c>
      <c r="C31" s="32" t="n">
        <v>0</v>
      </c>
      <c r="D31" s="32" t="n">
        <v>0</v>
      </c>
      <c r="E31" s="30" t="n">
        <f aca="false">C31+D31</f>
        <v>0</v>
      </c>
      <c r="F31" s="60" t="n">
        <f aca="false">C31*ext_h</f>
        <v>0</v>
      </c>
      <c r="G31" s="60" t="n">
        <f aca="false">D31*ext_h</f>
        <v>0</v>
      </c>
      <c r="H31" s="60" t="n">
        <f aca="false">F31+G31</f>
        <v>0</v>
      </c>
      <c r="I31" s="30"/>
      <c r="J31" s="30"/>
      <c r="K31" s="30"/>
    </row>
    <row r="32" customFormat="false" ht="15" hidden="false" customHeight="true" outlineLevel="0" collapsed="false">
      <c r="A32" s="63"/>
      <c r="B32" s="63" t="s">
        <v>533</v>
      </c>
      <c r="C32" s="63" t="n">
        <f aca="false">SUM(C30:C31)</f>
        <v>0</v>
      </c>
      <c r="D32" s="63" t="n">
        <f aca="false">SUM(D30:D31)</f>
        <v>0</v>
      </c>
      <c r="E32" s="63" t="n">
        <f aca="false">SUM(E30:E31)</f>
        <v>0</v>
      </c>
      <c r="F32" s="64" t="n">
        <f aca="false">SUM(F30:F31)</f>
        <v>0</v>
      </c>
      <c r="G32" s="64" t="n">
        <f aca="false">SUM(G30:G31)</f>
        <v>0</v>
      </c>
      <c r="H32" s="64" t="n">
        <f aca="false">SUM(H30:H31)</f>
        <v>0</v>
      </c>
      <c r="I32" s="27"/>
      <c r="J32" s="27"/>
      <c r="K32" s="27"/>
    </row>
    <row r="33" customFormat="false" ht="15" hidden="false" customHeight="true" outlineLevel="0" collapsed="false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customFormat="false" ht="15" hidden="false" customHeight="true" outlineLevel="0" collapsed="false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</row>
    <row r="35" customFormat="false" ht="23.25" hidden="false" customHeight="true" outlineLevel="0" collapsed="false">
      <c r="A35" s="62" t="s">
        <v>534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</row>
    <row r="36" customFormat="false" ht="15" hidden="false" customHeight="true" outlineLevel="0" collapsed="false">
      <c r="A36" s="29" t="s">
        <v>332</v>
      </c>
      <c r="B36" s="29" t="s">
        <v>48</v>
      </c>
      <c r="C36" s="29" t="s">
        <v>529</v>
      </c>
      <c r="D36" s="29" t="s">
        <v>530</v>
      </c>
      <c r="E36" s="29" t="s">
        <v>531</v>
      </c>
      <c r="F36" s="29" t="s">
        <v>412</v>
      </c>
      <c r="G36" s="29" t="s">
        <v>414</v>
      </c>
      <c r="H36" s="29" t="s">
        <v>518</v>
      </c>
      <c r="I36" s="30"/>
      <c r="J36" s="30"/>
      <c r="K36" s="30"/>
    </row>
    <row r="37" customFormat="false" ht="15" hidden="false" customHeight="true" outlineLevel="0" collapsed="false">
      <c r="A37" s="30" t="s">
        <v>356</v>
      </c>
      <c r="B37" s="30" t="s">
        <v>535</v>
      </c>
      <c r="C37" s="32" t="n">
        <v>15</v>
      </c>
      <c r="D37" s="32" t="n">
        <v>35</v>
      </c>
      <c r="E37" s="30" t="n">
        <f aca="false">C37+D37</f>
        <v>50</v>
      </c>
      <c r="F37" s="60" t="n">
        <f aca="false">C37*ext_h</f>
        <v>1350</v>
      </c>
      <c r="G37" s="60" t="n">
        <f aca="false">D37*ext_h</f>
        <v>3150</v>
      </c>
      <c r="H37" s="60" t="n">
        <f aca="false">F37+G37</f>
        <v>4500</v>
      </c>
      <c r="I37" s="30"/>
      <c r="J37" s="30"/>
      <c r="K37" s="30"/>
    </row>
    <row r="38" customFormat="false" ht="15" hidden="false" customHeight="true" outlineLevel="0" collapsed="false">
      <c r="A38" s="30" t="s">
        <v>356</v>
      </c>
      <c r="B38" s="30" t="s">
        <v>536</v>
      </c>
      <c r="C38" s="32" t="n">
        <v>9</v>
      </c>
      <c r="D38" s="32" t="n">
        <v>21</v>
      </c>
      <c r="E38" s="30" t="n">
        <f aca="false">C38+D38</f>
        <v>30</v>
      </c>
      <c r="F38" s="60" t="n">
        <f aca="false">C38*ext_h</f>
        <v>810</v>
      </c>
      <c r="G38" s="60" t="n">
        <f aca="false">D38*ext_h</f>
        <v>1890</v>
      </c>
      <c r="H38" s="60" t="n">
        <f aca="false">F38+G38</f>
        <v>2700</v>
      </c>
      <c r="I38" s="30"/>
      <c r="J38" s="30"/>
      <c r="K38" s="30"/>
    </row>
    <row r="39" customFormat="false" ht="15" hidden="false" customHeight="true" outlineLevel="0" collapsed="false">
      <c r="A39" s="30" t="s">
        <v>356</v>
      </c>
      <c r="B39" s="30" t="s">
        <v>537</v>
      </c>
      <c r="C39" s="32" t="n">
        <v>9</v>
      </c>
      <c r="D39" s="32" t="n">
        <v>21</v>
      </c>
      <c r="E39" s="30" t="n">
        <f aca="false">C39+D39</f>
        <v>30</v>
      </c>
      <c r="F39" s="60" t="n">
        <f aca="false">C39*ext_h</f>
        <v>810</v>
      </c>
      <c r="G39" s="60" t="n">
        <f aca="false">D39*ext_h</f>
        <v>1890</v>
      </c>
      <c r="H39" s="60" t="n">
        <f aca="false">F39+G39</f>
        <v>2700</v>
      </c>
      <c r="I39" s="30"/>
      <c r="J39" s="30"/>
      <c r="K39" s="30"/>
    </row>
    <row r="40" customFormat="false" ht="15" hidden="false" customHeight="true" outlineLevel="0" collapsed="false">
      <c r="A40" s="30" t="s">
        <v>360</v>
      </c>
      <c r="B40" s="30" t="s">
        <v>538</v>
      </c>
      <c r="C40" s="32" t="n">
        <v>8</v>
      </c>
      <c r="D40" s="32" t="n">
        <v>8</v>
      </c>
      <c r="E40" s="30" t="n">
        <f aca="false">C40+D40</f>
        <v>16</v>
      </c>
      <c r="F40" s="60" t="n">
        <f aca="false">C40*ext_h</f>
        <v>720</v>
      </c>
      <c r="G40" s="60" t="n">
        <f aca="false">D40*ext_h</f>
        <v>720</v>
      </c>
      <c r="H40" s="60" t="n">
        <f aca="false">F40+G40</f>
        <v>1440</v>
      </c>
      <c r="I40" s="30"/>
      <c r="J40" s="30"/>
      <c r="K40" s="30"/>
    </row>
    <row r="41" customFormat="false" ht="15" hidden="false" customHeight="true" outlineLevel="0" collapsed="false">
      <c r="A41" s="33"/>
      <c r="B41" s="33" t="s">
        <v>539</v>
      </c>
      <c r="C41" s="33" t="n">
        <f aca="false">SUM(C37:C40)</f>
        <v>41</v>
      </c>
      <c r="D41" s="33" t="n">
        <f aca="false">SUM(D37:D40)</f>
        <v>85</v>
      </c>
      <c r="E41" s="33" t="n">
        <f aca="false">SUM(E37:E40)</f>
        <v>126</v>
      </c>
      <c r="F41" s="61" t="n">
        <f aca="false">SUM(F37:F40)</f>
        <v>3690</v>
      </c>
      <c r="G41" s="61" t="n">
        <f aca="false">SUM(G37:G40)</f>
        <v>7650</v>
      </c>
      <c r="H41" s="61" t="n">
        <f aca="false">SUM(H37:H40)</f>
        <v>11340</v>
      </c>
      <c r="I41" s="30"/>
      <c r="J41" s="30"/>
      <c r="K41" s="30"/>
    </row>
    <row r="42" customFormat="false" ht="15" hidden="false" customHeight="true" outlineLevel="0" collapsed="false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</row>
    <row r="44" customFormat="false" ht="15" hidden="false" customHeight="true" outlineLevel="0" collapsed="false">
      <c r="A44" s="62" t="s">
        <v>540</v>
      </c>
      <c r="B44" s="30"/>
      <c r="C44" s="30"/>
      <c r="D44" s="30"/>
      <c r="E44" s="30"/>
      <c r="F44" s="30"/>
      <c r="G44" s="30"/>
      <c r="H44" s="30"/>
      <c r="I44" s="30"/>
      <c r="J44" s="30"/>
      <c r="K44" s="30"/>
    </row>
    <row r="45" customFormat="false" ht="15" hidden="false" customHeight="true" outlineLevel="0" collapsed="false">
      <c r="A45" s="29" t="s">
        <v>541</v>
      </c>
      <c r="B45" s="29" t="s">
        <v>542</v>
      </c>
      <c r="C45" s="29" t="s">
        <v>340</v>
      </c>
      <c r="D45" s="29" t="s">
        <v>543</v>
      </c>
      <c r="E45" s="29" t="s">
        <v>544</v>
      </c>
      <c r="F45" s="29" t="s">
        <v>531</v>
      </c>
      <c r="G45" s="29" t="s">
        <v>54</v>
      </c>
      <c r="H45" s="29" t="s">
        <v>389</v>
      </c>
      <c r="I45" s="30"/>
      <c r="J45" s="30"/>
      <c r="K45" s="30"/>
    </row>
    <row r="46" customFormat="false" ht="15" hidden="false" customHeight="true" outlineLevel="0" collapsed="false">
      <c r="A46" s="30" t="s">
        <v>545</v>
      </c>
      <c r="B46" s="30" t="s">
        <v>383</v>
      </c>
      <c r="C46" s="30" t="s">
        <v>345</v>
      </c>
      <c r="D46" s="32" t="n">
        <v>32</v>
      </c>
      <c r="E46" s="65" t="n">
        <f aca="false">meses_p1</f>
        <v>7</v>
      </c>
      <c r="F46" s="30" t="n">
        <f aca="false">D46*E46</f>
        <v>224</v>
      </c>
      <c r="G46" s="65" t="n">
        <f aca="false">gp1_ss</f>
        <v>27.98</v>
      </c>
      <c r="H46" s="60" t="n">
        <f aca="false">F46*G46</f>
        <v>6267.52</v>
      </c>
      <c r="I46" s="30"/>
      <c r="J46" s="30"/>
      <c r="K46" s="30"/>
    </row>
    <row r="47" customFormat="false" ht="15" hidden="false" customHeight="true" outlineLevel="0" collapsed="false">
      <c r="A47" s="30" t="s">
        <v>546</v>
      </c>
      <c r="B47" s="30" t="s">
        <v>383</v>
      </c>
      <c r="C47" s="30" t="s">
        <v>354</v>
      </c>
      <c r="D47" s="32" t="n">
        <v>25</v>
      </c>
      <c r="E47" s="65" t="n">
        <f aca="false">meses_p2</f>
        <v>10</v>
      </c>
      <c r="F47" s="30" t="n">
        <f aca="false">D47*E47</f>
        <v>250</v>
      </c>
      <c r="G47" s="65" t="n">
        <f aca="false">gp1_ss</f>
        <v>27.98</v>
      </c>
      <c r="H47" s="60" t="n">
        <f aca="false">F47*G47</f>
        <v>6995</v>
      </c>
      <c r="I47" s="30"/>
      <c r="J47" s="30"/>
      <c r="K47" s="30"/>
    </row>
    <row r="48" customFormat="false" ht="15" hidden="false" customHeight="true" outlineLevel="0" collapsed="false">
      <c r="A48" s="30" t="s">
        <v>547</v>
      </c>
      <c r="B48" s="30" t="s">
        <v>384</v>
      </c>
      <c r="C48" s="30" t="s">
        <v>345</v>
      </c>
      <c r="D48" s="32" t="n">
        <v>32</v>
      </c>
      <c r="E48" s="65" t="n">
        <f aca="false">meses_p1</f>
        <v>7</v>
      </c>
      <c r="F48" s="30" t="n">
        <f aca="false">D48*E48</f>
        <v>224</v>
      </c>
      <c r="G48" s="65" t="n">
        <f aca="false">gp1_ss</f>
        <v>27.98</v>
      </c>
      <c r="H48" s="60" t="n">
        <f aca="false">F48*G48</f>
        <v>6267.52</v>
      </c>
      <c r="I48" s="30"/>
      <c r="J48" s="30"/>
      <c r="K48" s="30"/>
    </row>
    <row r="49" customFormat="false" ht="15" hidden="false" customHeight="true" outlineLevel="0" collapsed="false">
      <c r="A49" s="30" t="s">
        <v>548</v>
      </c>
      <c r="B49" s="30" t="s">
        <v>384</v>
      </c>
      <c r="C49" s="30" t="s">
        <v>354</v>
      </c>
      <c r="D49" s="32" t="n">
        <v>25</v>
      </c>
      <c r="E49" s="65" t="n">
        <f aca="false">meses_p2</f>
        <v>10</v>
      </c>
      <c r="F49" s="30" t="n">
        <f aca="false">D49*E49</f>
        <v>250</v>
      </c>
      <c r="G49" s="65" t="n">
        <f aca="false">gp1_ss</f>
        <v>27.98</v>
      </c>
      <c r="H49" s="60" t="n">
        <f aca="false">F49*G49</f>
        <v>6995</v>
      </c>
      <c r="I49" s="30"/>
      <c r="J49" s="30"/>
      <c r="K49" s="30"/>
    </row>
    <row r="50" customFormat="false" ht="15" hidden="false" customHeight="true" outlineLevel="0" collapsed="false">
      <c r="A50" s="33"/>
      <c r="B50" s="33" t="s">
        <v>549</v>
      </c>
      <c r="C50" s="33"/>
      <c r="D50" s="33" t="n">
        <f aca="false">SUM(D46:D49)</f>
        <v>114</v>
      </c>
      <c r="E50" s="33"/>
      <c r="F50" s="33" t="n">
        <f aca="false">SUM(F46:F49)</f>
        <v>948</v>
      </c>
      <c r="G50" s="33"/>
      <c r="H50" s="61" t="n">
        <f aca="false">SUM(H46:H49)</f>
        <v>26525.04</v>
      </c>
      <c r="I50" s="30"/>
      <c r="J50" s="30"/>
      <c r="K50" s="30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</row>
    <row r="52" customFormat="false" ht="15" hidden="false" customHeight="true" outlineLevel="0" collapsed="false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</row>
    <row r="54" customFormat="false" ht="15" hidden="false" customHeight="true" outlineLevel="0" collapsed="false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</row>
    <row r="56" customFormat="false" ht="15" hidden="false" customHeight="true" outlineLevel="0" collapsed="false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</row>
    <row r="58" customFormat="false" ht="15" hidden="false" customHeight="true" outlineLevel="0" collapsed="false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</row>
    <row r="60" customFormat="false" ht="15" hidden="false" customHeight="true" outlineLevel="0" collapsed="false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</row>
    <row r="62" customFormat="false" ht="15" hidden="false" customHeight="true" outlineLevel="0" collapsed="false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</row>
    <row r="63" customFormat="false" ht="15" hidden="false" customHeight="true" outlineLevel="0" collapsed="false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</row>
    <row r="64" customFormat="false" ht="15" hidden="false" customHeight="true" outlineLevel="0" collapsed="false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</row>
    <row r="65" customFormat="false" ht="23.2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  <c r="I65" s="27"/>
      <c r="J65" s="27"/>
      <c r="K65" s="27"/>
    </row>
    <row r="66" customFormat="false" ht="15" hidden="false" customHeight="true" outlineLevel="0" collapsed="false">
      <c r="A66" s="30"/>
      <c r="B66" s="30"/>
      <c r="C66" s="30"/>
      <c r="D66" s="30"/>
      <c r="E66" s="30"/>
      <c r="F66" s="30"/>
      <c r="G66" s="30"/>
      <c r="H66" s="30"/>
      <c r="I66" s="27"/>
      <c r="J66" s="27"/>
      <c r="K66" s="27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  <c r="I67" s="27"/>
      <c r="J67" s="27"/>
      <c r="K67" s="27"/>
    </row>
    <row r="68" customFormat="false" ht="15" hidden="false" customHeight="true" outlineLevel="0" collapsed="false">
      <c r="A68" s="30"/>
      <c r="B68" s="30"/>
      <c r="C68" s="30"/>
      <c r="D68" s="30"/>
      <c r="E68" s="30"/>
      <c r="F68" s="30"/>
      <c r="G68" s="30"/>
      <c r="H68" s="30"/>
      <c r="I68" s="27"/>
      <c r="J68" s="27"/>
      <c r="K68" s="27"/>
    </row>
    <row r="69" customFormat="false" ht="15" hidden="false" customHeight="true" outlineLevel="0" collapsed="false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</row>
    <row r="70" customFormat="false" ht="15" hidden="false" customHeight="true" outlineLevel="0" collapsed="false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</row>
    <row r="71" customFormat="false" ht="26.25" hidden="false" customHeight="true" outlineLevel="0" collapsed="false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</row>
    <row r="72" customFormat="false" ht="23.25" hidden="false" customHeight="true" outlineLevel="0" collapsed="false">
      <c r="A72" s="30"/>
      <c r="B72" s="30"/>
      <c r="C72" s="30"/>
      <c r="D72" s="30"/>
      <c r="E72" s="30"/>
      <c r="F72" s="30"/>
      <c r="G72" s="30"/>
      <c r="H72" s="30"/>
      <c r="I72" s="27"/>
      <c r="J72" s="27"/>
      <c r="K72" s="27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  <c r="I73" s="27"/>
      <c r="J73" s="27"/>
      <c r="K73" s="27"/>
    </row>
    <row r="74" customFormat="false" ht="15" hidden="false" customHeight="true" outlineLevel="0" collapsed="false">
      <c r="A74" s="30"/>
      <c r="B74" s="30"/>
      <c r="C74" s="30"/>
      <c r="D74" s="30"/>
      <c r="E74" s="30"/>
      <c r="F74" s="30"/>
      <c r="G74" s="30"/>
      <c r="H74" s="30"/>
      <c r="I74" s="27"/>
      <c r="J74" s="27"/>
      <c r="K74" s="27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  <c r="I75" s="27"/>
      <c r="J75" s="27"/>
      <c r="K75" s="27"/>
    </row>
    <row r="76" customFormat="false" ht="15" hidden="false" customHeight="true" outlineLevel="0" collapsed="false">
      <c r="A76" s="30"/>
      <c r="B76" s="30"/>
      <c r="C76" s="30"/>
      <c r="D76" s="30"/>
      <c r="E76" s="30"/>
      <c r="F76" s="30"/>
      <c r="G76" s="30"/>
      <c r="H76" s="30"/>
      <c r="I76" s="27"/>
      <c r="J76" s="27"/>
      <c r="K76" s="27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  <c r="I77" s="27"/>
      <c r="J77" s="27"/>
      <c r="K77" s="27"/>
    </row>
    <row r="78" customFormat="false" ht="15" hidden="false" customHeight="true" outlineLevel="0" collapsed="false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</row>
    <row r="79" customFormat="false" ht="15" hidden="false" customHeight="true" outlineLevel="0" collapsed="false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</row>
    <row r="80" customFormat="false" ht="26.25" hidden="false" customHeight="true" outlineLevel="0" collapsed="false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  <c r="I81" s="27"/>
      <c r="J81" s="27"/>
      <c r="K81" s="27"/>
    </row>
    <row r="82" customFormat="false" ht="15" hidden="false" customHeight="true" outlineLevel="0" collapsed="false">
      <c r="A82" s="30"/>
      <c r="B82" s="30"/>
      <c r="C82" s="30"/>
      <c r="D82" s="30"/>
      <c r="E82" s="30"/>
      <c r="F82" s="30"/>
      <c r="G82" s="30"/>
      <c r="H82" s="30"/>
      <c r="I82" s="27"/>
      <c r="J82" s="27"/>
      <c r="K82" s="27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  <c r="I83" s="27"/>
      <c r="J83" s="27"/>
      <c r="K83" s="27"/>
    </row>
    <row r="84" customFormat="false" ht="15" hidden="false" customHeight="true" outlineLevel="0" collapsed="false">
      <c r="A84" s="30"/>
      <c r="B84" s="30"/>
      <c r="C84" s="30"/>
      <c r="D84" s="30"/>
      <c r="E84" s="30"/>
      <c r="F84" s="30"/>
      <c r="G84" s="30"/>
      <c r="H84" s="30"/>
      <c r="I84" s="27"/>
      <c r="J84" s="27"/>
      <c r="K84" s="27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  <c r="I85" s="27"/>
      <c r="J85" s="27"/>
      <c r="K85" s="27"/>
    </row>
    <row r="86" customFormat="false" ht="15" hidden="false" customHeight="true" outlineLevel="0" collapsed="false">
      <c r="A86" s="30"/>
      <c r="B86" s="30"/>
      <c r="C86" s="30"/>
      <c r="D86" s="30"/>
      <c r="E86" s="30"/>
      <c r="F86" s="30"/>
      <c r="G86" s="30"/>
      <c r="H86" s="30"/>
      <c r="I86" s="27"/>
      <c r="J86" s="27"/>
      <c r="K86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7"/>
    <col collapsed="false" customWidth="true" hidden="false" outlineLevel="0" max="5" min="4" style="1" width="9"/>
    <col collapsed="false" customWidth="true" hidden="false" outlineLevel="0" max="10" min="6" style="1" width="8"/>
    <col collapsed="false" customWidth="true" hidden="false" outlineLevel="0" max="14" min="11" style="1" width="14"/>
    <col collapsed="false" customWidth="true" hidden="false" outlineLevel="0" max="17" min="15" style="1" width="12"/>
    <col collapsed="false" customWidth="true" hidden="false" outlineLevel="0" max="19" min="18" style="1" width="11"/>
    <col collapsed="false" customWidth="true" hidden="false" outlineLevel="0" max="20" min="20" style="1" width="8"/>
  </cols>
  <sheetData>
    <row r="1" customFormat="false" ht="25.5" hidden="false" customHeight="true" outlineLevel="0" collapsed="false">
      <c r="A1" s="26" t="s">
        <v>550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</row>
    <row r="2" customFormat="false" ht="15" hidden="false" customHeight="true" outlineLevel="0" collapsed="false">
      <c r="A2" s="28" t="s">
        <v>551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</row>
    <row r="3" customFormat="false" ht="15" hidden="false" customHeight="tru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</row>
    <row r="4" customFormat="false" ht="23.25" hidden="false" customHeight="true" outlineLevel="0" collapsed="false">
      <c r="A4" s="29" t="s">
        <v>332</v>
      </c>
      <c r="B4" s="29" t="s">
        <v>333</v>
      </c>
      <c r="C4" s="29" t="s">
        <v>552</v>
      </c>
      <c r="D4" s="29" t="s">
        <v>553</v>
      </c>
      <c r="E4" s="29" t="s">
        <v>554</v>
      </c>
      <c r="F4" s="29" t="s">
        <v>555</v>
      </c>
      <c r="G4" s="29" t="s">
        <v>556</v>
      </c>
      <c r="H4" s="29" t="s">
        <v>557</v>
      </c>
      <c r="I4" s="29" t="s">
        <v>558</v>
      </c>
      <c r="J4" s="29" t="s">
        <v>559</v>
      </c>
      <c r="K4" s="29" t="s">
        <v>560</v>
      </c>
      <c r="L4" s="29" t="s">
        <v>561</v>
      </c>
      <c r="M4" s="29" t="s">
        <v>562</v>
      </c>
      <c r="N4" s="29" t="s">
        <v>563</v>
      </c>
      <c r="O4" s="29" t="s">
        <v>564</v>
      </c>
      <c r="P4" s="29" t="s">
        <v>565</v>
      </c>
      <c r="Q4" s="29" t="s">
        <v>566</v>
      </c>
      <c r="R4" s="29" t="s">
        <v>567</v>
      </c>
      <c r="S4" s="66" t="s">
        <v>568</v>
      </c>
      <c r="T4" s="66" t="s">
        <v>340</v>
      </c>
    </row>
    <row r="5" customFormat="false" ht="15" hidden="false" customHeight="true" outlineLevel="0" collapsed="false">
      <c r="A5" s="30" t="s">
        <v>342</v>
      </c>
      <c r="B5" s="30" t="s">
        <v>343</v>
      </c>
      <c r="C5" s="32" t="n">
        <v>2</v>
      </c>
      <c r="D5" s="32" t="n">
        <v>15</v>
      </c>
      <c r="E5" s="32" t="n">
        <v>5</v>
      </c>
      <c r="F5" s="32" t="n">
        <v>2</v>
      </c>
      <c r="G5" s="32" t="n">
        <v>2</v>
      </c>
      <c r="H5" s="30" t="n">
        <f aca="false">D5+E5+F5</f>
        <v>22</v>
      </c>
      <c r="I5" s="67" t="n">
        <v>48</v>
      </c>
      <c r="J5" s="67" t="n">
        <v>22</v>
      </c>
      <c r="K5" s="67" t="n">
        <v>0</v>
      </c>
      <c r="L5" s="67" t="n">
        <v>2</v>
      </c>
      <c r="M5" s="60" t="n">
        <f aca="false">I5*manut_dia_copr+K5*manut_med_copr</f>
        <v>1440</v>
      </c>
      <c r="N5" s="60" t="n">
        <f aca="false">J5*alojamiento_copr</f>
        <v>1210</v>
      </c>
      <c r="O5" s="60" t="n">
        <f aca="false">L5*2*km_madrid_pastrana*km_coche</f>
        <v>114.4</v>
      </c>
      <c r="P5" s="60" t="n">
        <f aca="false">M5+N5+O5</f>
        <v>2764.4</v>
      </c>
      <c r="Q5" s="68" t="n">
        <v>0.5</v>
      </c>
      <c r="R5" s="60" t="n">
        <f aca="false">P5*Q5</f>
        <v>1382.2</v>
      </c>
      <c r="S5" s="69" t="n">
        <f aca="false">P5*(1-Q5)</f>
        <v>1382.2</v>
      </c>
      <c r="T5" s="27" t="s">
        <v>345</v>
      </c>
    </row>
    <row r="6" customFormat="false" ht="15" hidden="false" customHeight="true" outlineLevel="0" collapsed="false">
      <c r="A6" s="30" t="s">
        <v>347</v>
      </c>
      <c r="B6" s="30" t="s">
        <v>348</v>
      </c>
      <c r="C6" s="32" t="n">
        <v>10</v>
      </c>
      <c r="D6" s="32" t="n">
        <v>22</v>
      </c>
      <c r="E6" s="32" t="n">
        <v>5</v>
      </c>
      <c r="F6" s="32" t="n">
        <v>2</v>
      </c>
      <c r="G6" s="32" t="n">
        <v>2</v>
      </c>
      <c r="H6" s="30" t="n">
        <f aca="false">D6+E6+F6</f>
        <v>29</v>
      </c>
      <c r="I6" s="67" t="n">
        <v>165</v>
      </c>
      <c r="J6" s="67" t="n">
        <v>116</v>
      </c>
      <c r="K6" s="67" t="n">
        <v>0</v>
      </c>
      <c r="L6" s="67" t="n">
        <v>4</v>
      </c>
      <c r="M6" s="60" t="n">
        <f aca="false">I6*manut_dia_copr+K6*manut_med_copr</f>
        <v>4950</v>
      </c>
      <c r="N6" s="60" t="n">
        <f aca="false">J6*alojamiento_copr</f>
        <v>6380</v>
      </c>
      <c r="O6" s="60" t="n">
        <f aca="false">L6*2*km_madrid_pastrana*km_coche</f>
        <v>228.8</v>
      </c>
      <c r="P6" s="60" t="n">
        <f aca="false">M6+N6+O6</f>
        <v>11558.8</v>
      </c>
      <c r="Q6" s="68" t="n">
        <v>0.65</v>
      </c>
      <c r="R6" s="60" t="n">
        <f aca="false">P6*Q6</f>
        <v>7513.22</v>
      </c>
      <c r="S6" s="69" t="n">
        <f aca="false">P6*(1-Q6)</f>
        <v>4045.58</v>
      </c>
      <c r="T6" s="27" t="s">
        <v>345</v>
      </c>
    </row>
    <row r="7" customFormat="false" ht="15" hidden="false" customHeight="true" outlineLevel="0" collapsed="false">
      <c r="A7" s="30" t="s">
        <v>351</v>
      </c>
      <c r="B7" s="30" t="s">
        <v>352</v>
      </c>
      <c r="C7" s="32" t="n">
        <v>4</v>
      </c>
      <c r="D7" s="32" t="n">
        <v>18</v>
      </c>
      <c r="E7" s="32" t="n">
        <v>7</v>
      </c>
      <c r="F7" s="32" t="n">
        <v>2</v>
      </c>
      <c r="G7" s="32" t="n">
        <v>1</v>
      </c>
      <c r="H7" s="30" t="n">
        <f aca="false">D7+E7+F7</f>
        <v>27</v>
      </c>
      <c r="I7" s="67" t="n">
        <v>112</v>
      </c>
      <c r="J7" s="67" t="n">
        <v>81</v>
      </c>
      <c r="K7" s="67" t="n">
        <v>0</v>
      </c>
      <c r="L7" s="67" t="n">
        <v>2</v>
      </c>
      <c r="M7" s="60" t="n">
        <f aca="false">I7*manut_dia_copr+K7*manut_med_copr</f>
        <v>3360</v>
      </c>
      <c r="N7" s="60" t="n">
        <f aca="false">J7*alojamiento_copr</f>
        <v>4455</v>
      </c>
      <c r="O7" s="60" t="n">
        <f aca="false">L7*2*km_madrid_pastrana*km_coche</f>
        <v>114.4</v>
      </c>
      <c r="P7" s="60" t="n">
        <f aca="false">M7+N7+O7</f>
        <v>7929.4</v>
      </c>
      <c r="Q7" s="68" t="n">
        <v>0.75</v>
      </c>
      <c r="R7" s="60" t="n">
        <f aca="false">P7*Q7</f>
        <v>5947.05</v>
      </c>
      <c r="S7" s="69" t="n">
        <f aca="false">P7*(1-Q7)</f>
        <v>1982.35</v>
      </c>
      <c r="T7" s="27" t="s">
        <v>354</v>
      </c>
    </row>
    <row r="8" customFormat="false" ht="15" hidden="false" customHeight="true" outlineLevel="0" collapsed="false">
      <c r="A8" s="30" t="s">
        <v>356</v>
      </c>
      <c r="B8" s="30" t="s">
        <v>357</v>
      </c>
      <c r="C8" s="32" t="n">
        <v>10</v>
      </c>
      <c r="D8" s="32" t="n">
        <v>15</v>
      </c>
      <c r="E8" s="32" t="n">
        <v>10</v>
      </c>
      <c r="F8" s="32" t="n">
        <v>2</v>
      </c>
      <c r="G8" s="32" t="n">
        <v>3</v>
      </c>
      <c r="H8" s="30" t="n">
        <f aca="false">D8+E8+F8</f>
        <v>27</v>
      </c>
      <c r="I8" s="67" t="n">
        <v>219</v>
      </c>
      <c r="J8" s="67" t="n">
        <v>162</v>
      </c>
      <c r="K8" s="67" t="n">
        <v>0</v>
      </c>
      <c r="L8" s="67" t="n">
        <v>4</v>
      </c>
      <c r="M8" s="60" t="n">
        <f aca="false">I8*manut_dia_copr+K8*manut_med_copr</f>
        <v>6570</v>
      </c>
      <c r="N8" s="60" t="n">
        <f aca="false">J8*alojamiento_copr</f>
        <v>8910</v>
      </c>
      <c r="O8" s="60" t="n">
        <f aca="false">L8*2*km_madrid_pastrana*km_coche</f>
        <v>228.8</v>
      </c>
      <c r="P8" s="60" t="n">
        <f aca="false">M8+N8+O8</f>
        <v>15708.8</v>
      </c>
      <c r="Q8" s="68" t="n">
        <v>0.35</v>
      </c>
      <c r="R8" s="60" t="n">
        <f aca="false">P8*Q8</f>
        <v>5498.08</v>
      </c>
      <c r="S8" s="69" t="n">
        <f aca="false">P8*(1-Q8)</f>
        <v>10210.72</v>
      </c>
      <c r="T8" s="27" t="s">
        <v>354</v>
      </c>
    </row>
    <row r="9" customFormat="false" ht="15" hidden="false" customHeight="true" outlineLevel="0" collapsed="false">
      <c r="A9" s="30" t="s">
        <v>360</v>
      </c>
      <c r="B9" s="30" t="s">
        <v>361</v>
      </c>
      <c r="C9" s="32" t="n">
        <v>10</v>
      </c>
      <c r="D9" s="32" t="n">
        <v>15</v>
      </c>
      <c r="E9" s="32" t="n">
        <v>8</v>
      </c>
      <c r="F9" s="32" t="n">
        <v>2</v>
      </c>
      <c r="G9" s="32" t="n">
        <v>2</v>
      </c>
      <c r="H9" s="30" t="n">
        <f aca="false">D9+E9+F9</f>
        <v>25</v>
      </c>
      <c r="I9" s="67" t="n">
        <v>195</v>
      </c>
      <c r="J9" s="67" t="n">
        <v>150</v>
      </c>
      <c r="K9" s="67" t="n">
        <v>0</v>
      </c>
      <c r="L9" s="67" t="n">
        <v>4</v>
      </c>
      <c r="M9" s="60" t="n">
        <f aca="false">I9*manut_dia_copr+K9*manut_med_copr</f>
        <v>5850</v>
      </c>
      <c r="N9" s="60" t="n">
        <f aca="false">J9*alojamiento_copr</f>
        <v>8250</v>
      </c>
      <c r="O9" s="60" t="n">
        <f aca="false">L9*2*km_madrid_pastrana*km_coche</f>
        <v>228.8</v>
      </c>
      <c r="P9" s="60" t="n">
        <f aca="false">M9+N9+O9</f>
        <v>14328.8</v>
      </c>
      <c r="Q9" s="68" t="n">
        <v>0.65</v>
      </c>
      <c r="R9" s="60" t="n">
        <f aca="false">P9*Q9</f>
        <v>9313.72</v>
      </c>
      <c r="S9" s="69" t="n">
        <f aca="false">P9*(1-Q9)</f>
        <v>5015.08</v>
      </c>
      <c r="T9" s="27" t="s">
        <v>354</v>
      </c>
    </row>
    <row r="10" customFormat="false" ht="15" hidden="false" customHeight="true" outlineLevel="0" collapsed="false">
      <c r="A10" s="30" t="s">
        <v>364</v>
      </c>
      <c r="B10" s="30" t="s">
        <v>365</v>
      </c>
      <c r="C10" s="32" t="n">
        <v>2</v>
      </c>
      <c r="D10" s="32" t="n">
        <v>15</v>
      </c>
      <c r="E10" s="32" t="n">
        <v>5</v>
      </c>
      <c r="F10" s="32" t="n">
        <v>1</v>
      </c>
      <c r="G10" s="32" t="n">
        <v>2</v>
      </c>
      <c r="H10" s="30" t="n">
        <f aca="false">D10+E10+F10</f>
        <v>21</v>
      </c>
      <c r="I10" s="67" t="n">
        <v>184</v>
      </c>
      <c r="J10" s="67" t="n">
        <v>84</v>
      </c>
      <c r="K10" s="67" t="n">
        <v>0</v>
      </c>
      <c r="L10" s="67" t="n">
        <v>8</v>
      </c>
      <c r="M10" s="60" t="n">
        <f aca="false">I10*manut_dia_copr+K10*manut_med_copr</f>
        <v>5520</v>
      </c>
      <c r="N10" s="60" t="n">
        <f aca="false">J10*alojamiento_copr</f>
        <v>4620</v>
      </c>
      <c r="O10" s="60" t="n">
        <f aca="false">L10*2*km_madrid_pastrana*km_coche</f>
        <v>457.6</v>
      </c>
      <c r="P10" s="60" t="n">
        <f aca="false">M10+N10+O10</f>
        <v>10597.6</v>
      </c>
      <c r="Q10" s="68" t="n">
        <v>0.3</v>
      </c>
      <c r="R10" s="60" t="n">
        <f aca="false">P10*Q10</f>
        <v>3179.28</v>
      </c>
      <c r="S10" s="69" t="n">
        <f aca="false">P10*(1-Q10)</f>
        <v>7418.32</v>
      </c>
      <c r="T10" s="27" t="s">
        <v>354</v>
      </c>
    </row>
    <row r="11" customFormat="false" ht="15" hidden="false" customHeight="true" outlineLevel="0" collapsed="false">
      <c r="A11" s="30" t="s">
        <v>368</v>
      </c>
      <c r="B11" s="30" t="s">
        <v>369</v>
      </c>
      <c r="C11" s="32" t="n">
        <v>1</v>
      </c>
      <c r="D11" s="32" t="n">
        <v>30</v>
      </c>
      <c r="E11" s="32" t="n">
        <v>10</v>
      </c>
      <c r="F11" s="32" t="n">
        <v>2</v>
      </c>
      <c r="G11" s="32" t="n">
        <v>2</v>
      </c>
      <c r="H11" s="30" t="n">
        <f aca="false">D11+E11+F11</f>
        <v>42</v>
      </c>
      <c r="I11" s="67" t="n">
        <v>0</v>
      </c>
      <c r="J11" s="67" t="n">
        <v>0</v>
      </c>
      <c r="K11" s="67" t="n">
        <v>44</v>
      </c>
      <c r="L11" s="67" t="n">
        <v>3</v>
      </c>
      <c r="M11" s="60" t="n">
        <f aca="false">I11*manut_dia_copr+K11*manut_med_copr</f>
        <v>660</v>
      </c>
      <c r="N11" s="60" t="n">
        <f aca="false">J11*alojamiento_copr</f>
        <v>0</v>
      </c>
      <c r="O11" s="60" t="n">
        <f aca="false">L11*2*km_madrid_pastrana*km_coche</f>
        <v>171.6</v>
      </c>
      <c r="P11" s="60" t="n">
        <f aca="false">M11+N11+O11</f>
        <v>831.6</v>
      </c>
      <c r="Q11" s="68" t="n">
        <v>0.5</v>
      </c>
      <c r="R11" s="60" t="n">
        <f aca="false">P11*Q11</f>
        <v>415.8</v>
      </c>
      <c r="S11" s="69" t="n">
        <f aca="false">P11*(1-Q11)</f>
        <v>415.8</v>
      </c>
      <c r="T11" s="27" t="s">
        <v>354</v>
      </c>
    </row>
    <row r="12" customFormat="false" ht="15" hidden="false" customHeight="true" outlineLevel="0" collapsed="false">
      <c r="A12" s="33"/>
      <c r="B12" s="33" t="s">
        <v>569</v>
      </c>
      <c r="C12" s="33"/>
      <c r="D12" s="33" t="n">
        <f aca="false">SUM(D5:D11)</f>
        <v>130</v>
      </c>
      <c r="E12" s="33" t="n">
        <f aca="false">SUM(E5:E11)</f>
        <v>50</v>
      </c>
      <c r="F12" s="33" t="n">
        <f aca="false">SUM(F5:F11)</f>
        <v>13</v>
      </c>
      <c r="G12" s="33" t="n">
        <f aca="false">SUM(G5:G11)</f>
        <v>14</v>
      </c>
      <c r="H12" s="33"/>
      <c r="I12" s="33" t="n">
        <f aca="false">SUM(I5:I11)</f>
        <v>923</v>
      </c>
      <c r="J12" s="33" t="n">
        <f aca="false">SUM(J5:J11)</f>
        <v>615</v>
      </c>
      <c r="K12" s="33" t="n">
        <f aca="false">SUM(K5:K11)</f>
        <v>44</v>
      </c>
      <c r="L12" s="33" t="n">
        <f aca="false">SUM(L5:L11)</f>
        <v>27</v>
      </c>
      <c r="M12" s="61" t="n">
        <f aca="false">SUM(M5:M11)</f>
        <v>28350</v>
      </c>
      <c r="N12" s="61" t="n">
        <f aca="false">SUM(N5:N11)</f>
        <v>33825</v>
      </c>
      <c r="O12" s="61" t="n">
        <f aca="false">SUM(O5:O11)</f>
        <v>1544.4</v>
      </c>
      <c r="P12" s="61" t="n">
        <f aca="false">SUM(P5:P11)</f>
        <v>63719.4</v>
      </c>
      <c r="Q12" s="33"/>
      <c r="R12" s="61" t="n">
        <f aca="false">SUM(R5:R11)</f>
        <v>33249.35</v>
      </c>
      <c r="S12" s="64" t="n">
        <f aca="false">SUM(S5:S11)</f>
        <v>30470.05</v>
      </c>
      <c r="T12" s="63"/>
    </row>
    <row r="13" customFormat="false" ht="15" hidden="false" customHeight="true" outlineLevel="0" collapsed="false">
      <c r="A13" s="33"/>
      <c r="B13" s="33" t="s">
        <v>570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61" t="n">
        <f aca="false">SUMIF(T5:T11,"P1",P5:P11)</f>
        <v>14323.2</v>
      </c>
      <c r="Q13" s="33"/>
      <c r="R13" s="33"/>
      <c r="S13" s="63"/>
      <c r="T13" s="63"/>
    </row>
    <row r="14" customFormat="false" ht="15" hidden="false" customHeight="true" outlineLevel="0" collapsed="false">
      <c r="A14" s="33"/>
      <c r="B14" s="33" t="s">
        <v>571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61" t="n">
        <f aca="false">SUMIF(T5:T11,"P2",P5:P11)</f>
        <v>49396.2</v>
      </c>
      <c r="Q14" s="33"/>
      <c r="R14" s="33"/>
      <c r="S14" s="63"/>
      <c r="T14" s="63"/>
    </row>
    <row r="15" customFormat="false" ht="15" hidden="false" customHeight="true" outlineLevel="0" collapsed="false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7"/>
      <c r="T15" s="27"/>
    </row>
    <row r="16" customFormat="false" ht="15" hidden="false" customHeight="tru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7"/>
      <c r="T16" s="27"/>
    </row>
    <row r="17" customFormat="false" ht="15" hidden="false" customHeight="true" outlineLevel="0" collapsed="false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27"/>
      <c r="T17" s="27"/>
    </row>
    <row r="18" customFormat="false" ht="15" hidden="false" customHeight="true" outlineLevel="0" collapsed="false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27"/>
      <c r="T18" s="27"/>
    </row>
    <row r="19" customFormat="false" ht="15" hidden="false" customHeight="true" outlineLevel="0" collapsed="false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27"/>
      <c r="T19" s="27"/>
    </row>
    <row r="20" customFormat="false" ht="15" hidden="false" customHeight="true" outlineLevel="0" collapsed="false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27"/>
      <c r="T20" s="27"/>
    </row>
    <row r="21" customFormat="false" ht="15" hidden="false" customHeight="true" outlineLevel="0" collapsed="false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7"/>
      <c r="T21" s="27"/>
    </row>
    <row r="22" customFormat="false" ht="15" hidden="false" customHeight="true" outlineLevel="0" collapsed="false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7"/>
      <c r="T22" s="27"/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7"/>
      <c r="T23" s="27"/>
    </row>
    <row r="24" customFormat="false" ht="15" hidden="false" customHeight="true" outlineLevel="0" collapsed="false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27"/>
      <c r="T24" s="27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27"/>
      <c r="T25" s="27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27"/>
      <c r="T26" s="27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27"/>
      <c r="T27" s="27"/>
    </row>
    <row r="28" customFormat="false" ht="15" hidden="false" customHeight="true" outlineLevel="0" collapsed="false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27"/>
      <c r="T28" s="27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27"/>
      <c r="T29" s="27"/>
    </row>
    <row r="30" customFormat="false" ht="15" hidden="false" customHeight="true" outlineLevel="0" collapsed="false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27"/>
      <c r="T30" s="27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27"/>
      <c r="T31" s="27"/>
    </row>
    <row r="32" customFormat="false" ht="15" hidden="false" customHeight="true" outlineLevel="0" collapsed="false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27"/>
      <c r="T32" s="27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7"/>
      <c r="T33" s="27"/>
    </row>
    <row r="34" customFormat="false" ht="15" hidden="false" customHeight="true" outlineLevel="0" collapsed="false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7"/>
      <c r="T34" s="27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7"/>
      <c r="T35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0"/>
    <col collapsed="false" customWidth="true" hidden="false" outlineLevel="0" max="5" min="3" style="1" width="9"/>
    <col collapsed="false" customWidth="true" hidden="false" outlineLevel="0" max="6" min="6" style="1" width="10"/>
    <col collapsed="false" customWidth="true" hidden="false" outlineLevel="0" max="8" min="7" style="1" width="8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25.5" hidden="false" customHeight="true" outlineLevel="0" collapsed="false">
      <c r="A1" s="26" t="s">
        <v>572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5" hidden="false" customHeight="true" outlineLevel="0" collapsed="false">
      <c r="A2" s="28" t="s">
        <v>573</v>
      </c>
      <c r="B2" s="27"/>
      <c r="C2" s="27"/>
      <c r="D2" s="27"/>
      <c r="E2" s="27"/>
      <c r="F2" s="27"/>
      <c r="G2" s="27"/>
      <c r="H2" s="27"/>
      <c r="I2" s="27"/>
      <c r="J2" s="27"/>
    </row>
    <row r="3" customFormat="false" ht="15" hidden="false" customHeight="tru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27"/>
    </row>
    <row r="4" customFormat="false" ht="15" hidden="false" customHeight="true" outlineLevel="0" collapsed="false">
      <c r="A4" s="29" t="s">
        <v>574</v>
      </c>
      <c r="B4" s="29" t="s">
        <v>48</v>
      </c>
      <c r="C4" s="29" t="s">
        <v>575</v>
      </c>
      <c r="D4" s="29" t="s">
        <v>576</v>
      </c>
      <c r="E4" s="29" t="s">
        <v>389</v>
      </c>
      <c r="F4" s="29" t="s">
        <v>577</v>
      </c>
      <c r="G4" s="29" t="s">
        <v>578</v>
      </c>
      <c r="H4" s="29" t="s">
        <v>566</v>
      </c>
      <c r="I4" s="29" t="s">
        <v>567</v>
      </c>
      <c r="J4" s="29" t="s">
        <v>340</v>
      </c>
    </row>
    <row r="5" customFormat="false" ht="15" hidden="false" customHeight="true" outlineLevel="0" collapsed="false">
      <c r="A5" s="30" t="s">
        <v>579</v>
      </c>
      <c r="B5" s="31" t="s">
        <v>580</v>
      </c>
      <c r="C5" s="32" t="n">
        <v>1</v>
      </c>
      <c r="D5" s="32" t="n">
        <v>1000</v>
      </c>
      <c r="E5" s="60" t="n">
        <f aca="false">C5*D5</f>
        <v>1000</v>
      </c>
      <c r="F5" s="65" t="n">
        <f aca="false">tope_ent</f>
        <v>5000</v>
      </c>
      <c r="G5" s="70" t="n">
        <f aca="false">E5/F5</f>
        <v>0.2</v>
      </c>
      <c r="H5" s="68" t="n">
        <v>0.5</v>
      </c>
      <c r="I5" s="60" t="n">
        <f aca="false">E5*H5</f>
        <v>500</v>
      </c>
      <c r="J5" s="30" t="s">
        <v>345</v>
      </c>
    </row>
    <row r="6" customFormat="false" ht="15" hidden="false" customHeight="true" outlineLevel="0" collapsed="false">
      <c r="A6" s="30" t="s">
        <v>581</v>
      </c>
      <c r="B6" s="31" t="s">
        <v>582</v>
      </c>
      <c r="C6" s="32" t="n">
        <v>30</v>
      </c>
      <c r="D6" s="32" t="n">
        <v>35</v>
      </c>
      <c r="E6" s="60" t="n">
        <f aca="false">C6*D6</f>
        <v>1050</v>
      </c>
      <c r="F6" s="30" t="s">
        <v>138</v>
      </c>
      <c r="G6" s="30" t="s">
        <v>138</v>
      </c>
      <c r="H6" s="68" t="n">
        <v>0.4</v>
      </c>
      <c r="I6" s="60" t="n">
        <f aca="false">E6*H6</f>
        <v>420</v>
      </c>
      <c r="J6" s="30" t="s">
        <v>345</v>
      </c>
    </row>
    <row r="7" customFormat="false" ht="15" hidden="false" customHeight="true" outlineLevel="0" collapsed="false">
      <c r="A7" s="30" t="s">
        <v>581</v>
      </c>
      <c r="B7" s="31" t="s">
        <v>583</v>
      </c>
      <c r="C7" s="32" t="n">
        <v>50</v>
      </c>
      <c r="D7" s="32" t="n">
        <v>35</v>
      </c>
      <c r="E7" s="60" t="n">
        <f aca="false">C7*D7</f>
        <v>1750</v>
      </c>
      <c r="F7" s="30" t="s">
        <v>138</v>
      </c>
      <c r="G7" s="30" t="s">
        <v>138</v>
      </c>
      <c r="H7" s="68" t="n">
        <v>0.4</v>
      </c>
      <c r="I7" s="60" t="n">
        <f aca="false">E7*H7</f>
        <v>700</v>
      </c>
      <c r="J7" s="30" t="s">
        <v>354</v>
      </c>
    </row>
    <row r="8" customFormat="false" ht="15" hidden="false" customHeight="true" outlineLevel="0" collapsed="false">
      <c r="A8" s="30" t="s">
        <v>584</v>
      </c>
      <c r="B8" s="31" t="s">
        <v>585</v>
      </c>
      <c r="C8" s="32" t="n">
        <v>1</v>
      </c>
      <c r="D8" s="32" t="n">
        <v>400</v>
      </c>
      <c r="E8" s="60" t="n">
        <f aca="false">C8*D8</f>
        <v>400</v>
      </c>
      <c r="F8" s="30" t="s">
        <v>138</v>
      </c>
      <c r="G8" s="30" t="s">
        <v>138</v>
      </c>
      <c r="H8" s="68" t="n">
        <v>0.5</v>
      </c>
      <c r="I8" s="60" t="n">
        <f aca="false">E8*H8</f>
        <v>200</v>
      </c>
      <c r="J8" s="30" t="s">
        <v>345</v>
      </c>
    </row>
    <row r="9" customFormat="false" ht="15" hidden="false" customHeight="true" outlineLevel="0" collapsed="false">
      <c r="A9" s="30" t="s">
        <v>584</v>
      </c>
      <c r="B9" s="31" t="s">
        <v>586</v>
      </c>
      <c r="C9" s="32" t="n">
        <v>1</v>
      </c>
      <c r="D9" s="32" t="n">
        <v>600</v>
      </c>
      <c r="E9" s="60" t="n">
        <f aca="false">C9*D9</f>
        <v>600</v>
      </c>
      <c r="F9" s="30" t="s">
        <v>138</v>
      </c>
      <c r="G9" s="30" t="s">
        <v>138</v>
      </c>
      <c r="H9" s="68" t="n">
        <v>0.5</v>
      </c>
      <c r="I9" s="60" t="n">
        <f aca="false">E9*H9</f>
        <v>300</v>
      </c>
      <c r="J9" s="30" t="s">
        <v>354</v>
      </c>
    </row>
    <row r="10" customFormat="false" ht="15" hidden="false" customHeight="true" outlineLevel="0" collapsed="false">
      <c r="A10" s="30" t="s">
        <v>587</v>
      </c>
      <c r="B10" s="31" t="s">
        <v>588</v>
      </c>
      <c r="C10" s="32" t="n">
        <v>1</v>
      </c>
      <c r="D10" s="32" t="n">
        <v>2800</v>
      </c>
      <c r="E10" s="60" t="n">
        <f aca="false">C10*D10</f>
        <v>2800</v>
      </c>
      <c r="F10" s="65" t="n">
        <f aca="false">tope_aud</f>
        <v>5000</v>
      </c>
      <c r="G10" s="70" t="n">
        <f aca="false">E10/F10</f>
        <v>0.56</v>
      </c>
      <c r="H10" s="68" t="n">
        <v>0.5</v>
      </c>
      <c r="I10" s="60" t="n">
        <f aca="false">E10*H10</f>
        <v>1400</v>
      </c>
      <c r="J10" s="30" t="s">
        <v>354</v>
      </c>
    </row>
    <row r="11" customFormat="false" ht="15" hidden="false" customHeight="true" outlineLevel="0" collapsed="false">
      <c r="A11" s="30" t="s">
        <v>589</v>
      </c>
      <c r="B11" s="31" t="s">
        <v>590</v>
      </c>
      <c r="C11" s="32" t="n">
        <v>1</v>
      </c>
      <c r="D11" s="32" t="n">
        <v>1500</v>
      </c>
      <c r="E11" s="60" t="n">
        <f aca="false">C11*D11</f>
        <v>1500</v>
      </c>
      <c r="F11" s="30" t="s">
        <v>138</v>
      </c>
      <c r="G11" s="30" t="s">
        <v>138</v>
      </c>
      <c r="H11" s="68" t="n">
        <v>0.5</v>
      </c>
      <c r="I11" s="60" t="n">
        <f aca="false">E11*H11</f>
        <v>750</v>
      </c>
      <c r="J11" s="30" t="s">
        <v>345</v>
      </c>
    </row>
    <row r="12" customFormat="false" ht="15" hidden="false" customHeight="true" outlineLevel="0" collapsed="false">
      <c r="A12" s="30" t="s">
        <v>589</v>
      </c>
      <c r="B12" s="31" t="s">
        <v>591</v>
      </c>
      <c r="C12" s="32" t="n">
        <v>1</v>
      </c>
      <c r="D12" s="32" t="n">
        <v>3500</v>
      </c>
      <c r="E12" s="60" t="n">
        <f aca="false">C12*D12</f>
        <v>3500</v>
      </c>
      <c r="F12" s="30" t="s">
        <v>138</v>
      </c>
      <c r="G12" s="30" t="s">
        <v>138</v>
      </c>
      <c r="H12" s="68" t="n">
        <v>0.5</v>
      </c>
      <c r="I12" s="60" t="n">
        <f aca="false">E12*H12</f>
        <v>1750</v>
      </c>
      <c r="J12" s="30" t="s">
        <v>354</v>
      </c>
    </row>
    <row r="13" customFormat="false" ht="15" hidden="false" customHeight="true" outlineLevel="0" collapsed="false">
      <c r="A13" s="30" t="s">
        <v>592</v>
      </c>
      <c r="B13" s="31" t="s">
        <v>593</v>
      </c>
      <c r="C13" s="32" t="n">
        <v>1</v>
      </c>
      <c r="D13" s="32" t="n">
        <v>500</v>
      </c>
      <c r="E13" s="60" t="n">
        <f aca="false">C13*D13</f>
        <v>500</v>
      </c>
      <c r="F13" s="65" t="n">
        <f aca="false">tope_com</f>
        <v>1500</v>
      </c>
      <c r="G13" s="70" t="n">
        <f aca="false">E13/F13</f>
        <v>0.333333333333333</v>
      </c>
      <c r="H13" s="68" t="n">
        <v>0.5</v>
      </c>
      <c r="I13" s="60" t="n">
        <f aca="false">E13*H13</f>
        <v>250</v>
      </c>
      <c r="J13" s="30" t="s">
        <v>345</v>
      </c>
    </row>
    <row r="14" customFormat="false" ht="15" hidden="false" customHeight="true" outlineLevel="0" collapsed="false">
      <c r="A14" s="30" t="s">
        <v>592</v>
      </c>
      <c r="B14" s="31" t="s">
        <v>594</v>
      </c>
      <c r="C14" s="32" t="n">
        <v>1</v>
      </c>
      <c r="D14" s="32" t="n">
        <v>1000</v>
      </c>
      <c r="E14" s="60" t="n">
        <f aca="false">C14*D14</f>
        <v>1000</v>
      </c>
      <c r="F14" s="65" t="n">
        <f aca="false">tope_com</f>
        <v>1500</v>
      </c>
      <c r="G14" s="70" t="n">
        <f aca="false">E14/F14</f>
        <v>0.666666666666667</v>
      </c>
      <c r="H14" s="68" t="n">
        <v>0.5</v>
      </c>
      <c r="I14" s="60" t="n">
        <f aca="false">E14*H14</f>
        <v>500</v>
      </c>
      <c r="J14" s="30" t="s">
        <v>354</v>
      </c>
    </row>
    <row r="15" customFormat="false" ht="15" hidden="false" customHeight="true" outlineLevel="0" collapsed="false">
      <c r="A15" s="33"/>
      <c r="B15" s="33" t="s">
        <v>595</v>
      </c>
      <c r="C15" s="33"/>
      <c r="D15" s="33"/>
      <c r="E15" s="61" t="n">
        <f aca="false">SUM(E5:E14)</f>
        <v>14100</v>
      </c>
      <c r="F15" s="33"/>
      <c r="G15" s="33"/>
      <c r="H15" s="33"/>
      <c r="I15" s="61" t="n">
        <f aca="false">SUM(I5:I14)</f>
        <v>6770</v>
      </c>
      <c r="J15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55"/>
    <col collapsed="false" customWidth="true" hidden="false" outlineLevel="0" max="7" min="3" style="1" width="11"/>
    <col collapsed="false" customWidth="true" hidden="false" outlineLevel="0" max="8" min="8" style="1" width="7"/>
    <col collapsed="false" customWidth="true" hidden="false" outlineLevel="0" max="10" min="9" style="1" width="11"/>
    <col collapsed="false" customWidth="true" hidden="false" outlineLevel="0" max="11" min="11" style="1" width="45"/>
  </cols>
  <sheetData>
    <row r="1" customFormat="false" ht="25.5" hidden="false" customHeight="true" outlineLevel="0" collapsed="false">
      <c r="A1" s="26" t="s">
        <v>596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" hidden="false" customHeight="tru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true" outlineLevel="0" collapsed="false">
      <c r="A3" s="58" t="s">
        <v>597</v>
      </c>
      <c r="B3" s="27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3.25" hidden="false" customHeight="true" outlineLevel="0" collapsed="false">
      <c r="A4" s="29" t="s">
        <v>48</v>
      </c>
      <c r="B4" s="29" t="s">
        <v>390</v>
      </c>
      <c r="C4" s="29" t="s">
        <v>598</v>
      </c>
      <c r="D4" s="29" t="s">
        <v>599</v>
      </c>
      <c r="E4" s="29" t="s">
        <v>600</v>
      </c>
      <c r="F4" s="29" t="s">
        <v>601</v>
      </c>
      <c r="G4" s="29" t="s">
        <v>602</v>
      </c>
      <c r="H4" s="29" t="s">
        <v>566</v>
      </c>
      <c r="I4" s="29" t="s">
        <v>567</v>
      </c>
      <c r="J4" s="29" t="s">
        <v>568</v>
      </c>
      <c r="K4" s="29" t="s">
        <v>52</v>
      </c>
    </row>
    <row r="5" customFormat="false" ht="15" hidden="false" customHeight="true" outlineLevel="0" collapsed="false">
      <c r="A5" s="30" t="s">
        <v>603</v>
      </c>
      <c r="B5" s="31" t="s">
        <v>604</v>
      </c>
      <c r="C5" s="71" t="n">
        <v>3500</v>
      </c>
      <c r="D5" s="32" t="n">
        <v>60</v>
      </c>
      <c r="E5" s="60" t="n">
        <f aca="false">C5*MIN(D5,meses_p1)/D5</f>
        <v>408.333333333333</v>
      </c>
      <c r="F5" s="60" t="n">
        <f aca="false">C5*MIN(D5,meses_p2)/D5</f>
        <v>583.333333333333</v>
      </c>
      <c r="G5" s="60" t="n">
        <f aca="false">E5+F5</f>
        <v>991.666666666667</v>
      </c>
      <c r="H5" s="68" t="n">
        <v>1</v>
      </c>
      <c r="I5" s="60" t="n">
        <f aca="false">G5*H5</f>
        <v>991.666666666667</v>
      </c>
      <c r="J5" s="60" t="n">
        <f aca="false">G5*(1-H5)</f>
        <v>0</v>
      </c>
      <c r="K5" s="31" t="s">
        <v>605</v>
      </c>
    </row>
    <row r="6" customFormat="false" ht="15" hidden="false" customHeight="true" outlineLevel="0" collapsed="false">
      <c r="A6" s="30" t="s">
        <v>606</v>
      </c>
      <c r="B6" s="31" t="s">
        <v>607</v>
      </c>
      <c r="C6" s="71" t="n">
        <v>4500</v>
      </c>
      <c r="D6" s="32" t="n">
        <v>60</v>
      </c>
      <c r="E6" s="60" t="n">
        <f aca="false">C6*MIN(D6,meses_p1)/D6</f>
        <v>525</v>
      </c>
      <c r="F6" s="60" t="n">
        <f aca="false">C6*MIN(D6,meses_p2)/D6</f>
        <v>750</v>
      </c>
      <c r="G6" s="60" t="n">
        <f aca="false">E6+F6</f>
        <v>1275</v>
      </c>
      <c r="H6" s="68" t="n">
        <v>1</v>
      </c>
      <c r="I6" s="60" t="n">
        <f aca="false">G6*H6</f>
        <v>1275</v>
      </c>
      <c r="J6" s="60" t="n">
        <f aca="false">G6*(1-H6)</f>
        <v>0</v>
      </c>
      <c r="K6" s="31" t="s">
        <v>608</v>
      </c>
    </row>
    <row r="7" customFormat="false" ht="15" hidden="false" customHeight="true" outlineLevel="0" collapsed="false">
      <c r="A7" s="30" t="s">
        <v>609</v>
      </c>
      <c r="B7" s="31" t="s">
        <v>610</v>
      </c>
      <c r="C7" s="71" t="n">
        <v>3700</v>
      </c>
      <c r="D7" s="32" t="n">
        <v>60</v>
      </c>
      <c r="E7" s="60" t="n">
        <f aca="false">C7*MIN(D7,meses_p1)/D7</f>
        <v>431.666666666667</v>
      </c>
      <c r="F7" s="60" t="n">
        <f aca="false">C7*MIN(D7,meses_p2)/D7</f>
        <v>616.666666666667</v>
      </c>
      <c r="G7" s="60" t="n">
        <f aca="false">E7+F7</f>
        <v>1048.33333333333</v>
      </c>
      <c r="H7" s="68" t="n">
        <v>1</v>
      </c>
      <c r="I7" s="60" t="n">
        <f aca="false">G7*H7</f>
        <v>1048.33333333333</v>
      </c>
      <c r="J7" s="60" t="n">
        <f aca="false">G7*(1-H7)</f>
        <v>0</v>
      </c>
      <c r="K7" s="31" t="s">
        <v>611</v>
      </c>
    </row>
    <row r="8" customFormat="false" ht="15" hidden="false" customHeight="true" outlineLevel="0" collapsed="false">
      <c r="A8" s="30" t="s">
        <v>612</v>
      </c>
      <c r="B8" s="31" t="s">
        <v>613</v>
      </c>
      <c r="C8" s="71" t="n">
        <v>3000</v>
      </c>
      <c r="D8" s="32" t="n">
        <v>17</v>
      </c>
      <c r="E8" s="60" t="n">
        <f aca="false">C8*MIN(D8,meses_p1)/D8</f>
        <v>1235.29411764706</v>
      </c>
      <c r="F8" s="60" t="n">
        <f aca="false">C8*MIN(D8,meses_p2)/D8</f>
        <v>1764.70588235294</v>
      </c>
      <c r="G8" s="60" t="n">
        <f aca="false">E8+F8</f>
        <v>3000</v>
      </c>
      <c r="H8" s="68" t="n">
        <v>1</v>
      </c>
      <c r="I8" s="60" t="n">
        <f aca="false">G8*H8</f>
        <v>3000</v>
      </c>
      <c r="J8" s="60" t="n">
        <f aca="false">G8*(1-H8)</f>
        <v>0</v>
      </c>
      <c r="K8" s="31" t="s">
        <v>614</v>
      </c>
    </row>
    <row r="9" customFormat="false" ht="15" hidden="false" customHeight="true" outlineLevel="0" collapsed="false">
      <c r="A9" s="30" t="s">
        <v>615</v>
      </c>
      <c r="B9" s="31" t="s">
        <v>616</v>
      </c>
      <c r="C9" s="71" t="n">
        <v>2000</v>
      </c>
      <c r="D9" s="32" t="n">
        <v>60</v>
      </c>
      <c r="E9" s="60" t="n">
        <f aca="false">C9*MIN(D9,meses_p1)/D9</f>
        <v>233.333333333333</v>
      </c>
      <c r="F9" s="60" t="n">
        <f aca="false">C9*MIN(D9,meses_p2)/D9</f>
        <v>333.333333333333</v>
      </c>
      <c r="G9" s="60" t="n">
        <f aca="false">E9+F9</f>
        <v>566.666666666667</v>
      </c>
      <c r="H9" s="68" t="n">
        <v>1</v>
      </c>
      <c r="I9" s="60" t="n">
        <f aca="false">G9*H9</f>
        <v>566.666666666667</v>
      </c>
      <c r="J9" s="60" t="n">
        <f aca="false">G9*(1-H9)</f>
        <v>0</v>
      </c>
      <c r="K9" s="31" t="s">
        <v>617</v>
      </c>
    </row>
    <row r="10" customFormat="false" ht="15" hidden="false" customHeight="true" outlineLevel="0" collapsed="false">
      <c r="A10" s="33"/>
      <c r="B10" s="33" t="s">
        <v>618</v>
      </c>
      <c r="C10" s="33"/>
      <c r="D10" s="33"/>
      <c r="E10" s="61" t="n">
        <f aca="false">SUM(E5:E9)</f>
        <v>2833.62745098039</v>
      </c>
      <c r="F10" s="61" t="n">
        <f aca="false">SUM(F5:F9)</f>
        <v>4048.03921568627</v>
      </c>
      <c r="G10" s="61" t="n">
        <f aca="false">SUM(G5:G9)</f>
        <v>6881.66666666667</v>
      </c>
      <c r="H10" s="33"/>
      <c r="I10" s="61" t="n">
        <f aca="false">SUM(I5:I9)</f>
        <v>6881.66666666667</v>
      </c>
      <c r="J10" s="61" t="n">
        <f aca="false">SUM(J5:J9)</f>
        <v>0</v>
      </c>
      <c r="K10" s="33"/>
    </row>
    <row r="11" customFormat="false" ht="15" hidden="false" customHeight="true" outlineLevel="0" collapsed="false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</row>
    <row r="12" customFormat="false" ht="15" hidden="false" customHeight="true" outlineLevel="0" collapsed="false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</row>
    <row r="13" customFormat="false" ht="15" hidden="false" customHeight="true" outlineLevel="0" collapsed="false">
      <c r="A13" s="58" t="s">
        <v>619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</row>
    <row r="14" customFormat="false" ht="23.25" hidden="false" customHeight="true" outlineLevel="0" collapsed="false">
      <c r="A14" s="29" t="s">
        <v>48</v>
      </c>
      <c r="B14" s="29" t="s">
        <v>390</v>
      </c>
      <c r="C14" s="29" t="s">
        <v>575</v>
      </c>
      <c r="D14" s="29" t="s">
        <v>576</v>
      </c>
      <c r="E14" s="29" t="s">
        <v>518</v>
      </c>
      <c r="F14" s="29" t="s">
        <v>340</v>
      </c>
      <c r="G14" s="29" t="s">
        <v>566</v>
      </c>
      <c r="H14" s="29" t="s">
        <v>567</v>
      </c>
      <c r="I14" s="29" t="s">
        <v>568</v>
      </c>
      <c r="J14" s="29" t="s">
        <v>620</v>
      </c>
      <c r="K14" s="30"/>
    </row>
    <row r="15" customFormat="false" ht="15" hidden="false" customHeight="true" outlineLevel="0" collapsed="false">
      <c r="A15" s="30" t="s">
        <v>621</v>
      </c>
      <c r="B15" s="31" t="s">
        <v>622</v>
      </c>
      <c r="C15" s="32" t="n">
        <v>1</v>
      </c>
      <c r="D15" s="71" t="n">
        <v>2500</v>
      </c>
      <c r="E15" s="60" t="n">
        <f aca="false">C15*D15</f>
        <v>2500</v>
      </c>
      <c r="F15" s="30" t="s">
        <v>354</v>
      </c>
      <c r="G15" s="68" t="n">
        <v>0.3</v>
      </c>
      <c r="H15" s="60" t="n">
        <f aca="false">E15*G15</f>
        <v>750</v>
      </c>
      <c r="I15" s="60" t="n">
        <f aca="false">E15*(1-G15)</f>
        <v>1750</v>
      </c>
      <c r="J15" s="30" t="s">
        <v>356</v>
      </c>
      <c r="K15" s="30"/>
    </row>
    <row r="16" customFormat="false" ht="15" hidden="false" customHeight="true" outlineLevel="0" collapsed="false">
      <c r="A16" s="30" t="s">
        <v>623</v>
      </c>
      <c r="B16" s="31" t="s">
        <v>624</v>
      </c>
      <c r="C16" s="32" t="n">
        <v>1</v>
      </c>
      <c r="D16" s="71" t="n">
        <v>3500</v>
      </c>
      <c r="E16" s="60" t="n">
        <f aca="false">C16*D16</f>
        <v>3500</v>
      </c>
      <c r="F16" s="30" t="s">
        <v>354</v>
      </c>
      <c r="G16" s="68" t="n">
        <v>0.3</v>
      </c>
      <c r="H16" s="60" t="n">
        <f aca="false">E16*G16</f>
        <v>1050</v>
      </c>
      <c r="I16" s="60" t="n">
        <f aca="false">E16*(1-G16)</f>
        <v>2450</v>
      </c>
      <c r="J16" s="30" t="s">
        <v>356</v>
      </c>
      <c r="K16" s="30"/>
    </row>
    <row r="17" customFormat="false" ht="15" hidden="false" customHeight="true" outlineLevel="0" collapsed="false">
      <c r="A17" s="30" t="s">
        <v>625</v>
      </c>
      <c r="B17" s="31" t="s">
        <v>626</v>
      </c>
      <c r="C17" s="32" t="n">
        <v>1</v>
      </c>
      <c r="D17" s="71" t="n">
        <v>1500</v>
      </c>
      <c r="E17" s="60" t="n">
        <f aca="false">C17*D17</f>
        <v>1500</v>
      </c>
      <c r="F17" s="30" t="s">
        <v>354</v>
      </c>
      <c r="G17" s="68" t="n">
        <v>0.3</v>
      </c>
      <c r="H17" s="60" t="n">
        <f aca="false">E17*G17</f>
        <v>450</v>
      </c>
      <c r="I17" s="60" t="n">
        <f aca="false">E17*(1-G17)</f>
        <v>1050</v>
      </c>
      <c r="J17" s="30" t="s">
        <v>356</v>
      </c>
      <c r="K17" s="30"/>
    </row>
    <row r="18" customFormat="false" ht="15" hidden="false" customHeight="true" outlineLevel="0" collapsed="false">
      <c r="A18" s="30" t="s">
        <v>627</v>
      </c>
      <c r="B18" s="31" t="s">
        <v>628</v>
      </c>
      <c r="C18" s="32" t="n">
        <v>1</v>
      </c>
      <c r="D18" s="71" t="n">
        <v>4500</v>
      </c>
      <c r="E18" s="60" t="n">
        <f aca="false">C18*D18</f>
        <v>4500</v>
      </c>
      <c r="F18" s="30" t="s">
        <v>354</v>
      </c>
      <c r="G18" s="68" t="n">
        <v>0.3</v>
      </c>
      <c r="H18" s="60" t="n">
        <f aca="false">E18*G18</f>
        <v>1350</v>
      </c>
      <c r="I18" s="60" t="n">
        <f aca="false">E18*(1-G18)</f>
        <v>3150</v>
      </c>
      <c r="J18" s="30" t="s">
        <v>356</v>
      </c>
      <c r="K18" s="30"/>
    </row>
    <row r="19" customFormat="false" ht="15" hidden="false" customHeight="true" outlineLevel="0" collapsed="false">
      <c r="A19" s="30" t="s">
        <v>629</v>
      </c>
      <c r="B19" s="31" t="s">
        <v>630</v>
      </c>
      <c r="C19" s="32" t="n">
        <v>1</v>
      </c>
      <c r="D19" s="71" t="n">
        <v>3000</v>
      </c>
      <c r="E19" s="60" t="n">
        <f aca="false">C19*D19</f>
        <v>3000</v>
      </c>
      <c r="F19" s="30" t="s">
        <v>354</v>
      </c>
      <c r="G19" s="68" t="n">
        <v>0.3</v>
      </c>
      <c r="H19" s="60" t="n">
        <f aca="false">E19*G19</f>
        <v>900</v>
      </c>
      <c r="I19" s="60" t="n">
        <f aca="false">E19*(1-G19)</f>
        <v>2100</v>
      </c>
      <c r="J19" s="30" t="s">
        <v>356</v>
      </c>
      <c r="K19" s="30"/>
    </row>
    <row r="20" customFormat="false" ht="15" hidden="false" customHeight="true" outlineLevel="0" collapsed="false">
      <c r="A20" s="30" t="s">
        <v>631</v>
      </c>
      <c r="B20" s="31" t="s">
        <v>632</v>
      </c>
      <c r="C20" s="32" t="n">
        <v>1</v>
      </c>
      <c r="D20" s="71" t="n">
        <v>2500</v>
      </c>
      <c r="E20" s="60" t="n">
        <f aca="false">C20*D20</f>
        <v>2500</v>
      </c>
      <c r="F20" s="30" t="s">
        <v>354</v>
      </c>
      <c r="G20" s="68" t="n">
        <v>0.3</v>
      </c>
      <c r="H20" s="60" t="n">
        <f aca="false">E20*G20</f>
        <v>750</v>
      </c>
      <c r="I20" s="60" t="n">
        <f aca="false">E20*(1-G20)</f>
        <v>1750</v>
      </c>
      <c r="J20" s="30" t="s">
        <v>356</v>
      </c>
      <c r="K20" s="30"/>
    </row>
    <row r="21" customFormat="false" ht="15" hidden="false" customHeight="true" outlineLevel="0" collapsed="false">
      <c r="A21" s="30" t="s">
        <v>633</v>
      </c>
      <c r="B21" s="31" t="s">
        <v>634</v>
      </c>
      <c r="C21" s="32" t="n">
        <v>1</v>
      </c>
      <c r="D21" s="71" t="n">
        <v>2500</v>
      </c>
      <c r="E21" s="60" t="n">
        <f aca="false">C21*D21</f>
        <v>2500</v>
      </c>
      <c r="F21" s="30" t="s">
        <v>354</v>
      </c>
      <c r="G21" s="68" t="n">
        <v>0.3</v>
      </c>
      <c r="H21" s="60" t="n">
        <f aca="false">E21*G21</f>
        <v>750</v>
      </c>
      <c r="I21" s="60" t="n">
        <f aca="false">E21*(1-G21)</f>
        <v>1750</v>
      </c>
      <c r="J21" s="30" t="s">
        <v>356</v>
      </c>
      <c r="K21" s="30"/>
    </row>
    <row r="22" customFormat="false" ht="15" hidden="false" customHeight="true" outlineLevel="0" collapsed="false">
      <c r="A22" s="30" t="s">
        <v>635</v>
      </c>
      <c r="B22" s="31" t="s">
        <v>636</v>
      </c>
      <c r="C22" s="32" t="n">
        <v>1</v>
      </c>
      <c r="D22" s="71" t="n">
        <v>4500</v>
      </c>
      <c r="E22" s="60" t="n">
        <f aca="false">C22*D22</f>
        <v>4500</v>
      </c>
      <c r="F22" s="30" t="s">
        <v>354</v>
      </c>
      <c r="G22" s="68" t="n">
        <v>0.6</v>
      </c>
      <c r="H22" s="60" t="n">
        <f aca="false">E22*G22</f>
        <v>2700</v>
      </c>
      <c r="I22" s="60" t="n">
        <f aca="false">E22*(1-G22)</f>
        <v>1800</v>
      </c>
      <c r="J22" s="30" t="s">
        <v>360</v>
      </c>
      <c r="K22" s="30"/>
    </row>
    <row r="23" customFormat="false" ht="15" hidden="false" customHeight="true" outlineLevel="0" collapsed="false">
      <c r="A23" s="30" t="s">
        <v>637</v>
      </c>
      <c r="B23" s="31" t="s">
        <v>638</v>
      </c>
      <c r="C23" s="32" t="n">
        <v>1</v>
      </c>
      <c r="D23" s="71" t="n">
        <v>3500</v>
      </c>
      <c r="E23" s="60" t="n">
        <f aca="false">C23*D23</f>
        <v>3500</v>
      </c>
      <c r="F23" s="30" t="s">
        <v>354</v>
      </c>
      <c r="G23" s="68" t="n">
        <v>0.6</v>
      </c>
      <c r="H23" s="60" t="n">
        <f aca="false">E23*G23</f>
        <v>2100</v>
      </c>
      <c r="I23" s="60" t="n">
        <f aca="false">E23*(1-G23)</f>
        <v>1400</v>
      </c>
      <c r="J23" s="30" t="s">
        <v>360</v>
      </c>
      <c r="K23" s="30"/>
    </row>
    <row r="24" customFormat="false" ht="15" hidden="false" customHeight="true" outlineLevel="0" collapsed="false">
      <c r="A24" s="30" t="s">
        <v>639</v>
      </c>
      <c r="B24" s="31" t="s">
        <v>640</v>
      </c>
      <c r="C24" s="32" t="n">
        <v>1</v>
      </c>
      <c r="D24" s="71" t="n">
        <v>2500</v>
      </c>
      <c r="E24" s="60" t="n">
        <f aca="false">C24*D24</f>
        <v>2500</v>
      </c>
      <c r="F24" s="30" t="s">
        <v>354</v>
      </c>
      <c r="G24" s="68" t="n">
        <v>0.5</v>
      </c>
      <c r="H24" s="60" t="n">
        <f aca="false">E24*G24</f>
        <v>1250</v>
      </c>
      <c r="I24" s="60" t="n">
        <f aca="false">E24*(1-G24)</f>
        <v>1250</v>
      </c>
      <c r="J24" s="30" t="s">
        <v>360</v>
      </c>
      <c r="K24" s="30"/>
    </row>
    <row r="25" customFormat="false" ht="15" hidden="false" customHeight="true" outlineLevel="0" collapsed="false">
      <c r="A25" s="30" t="s">
        <v>641</v>
      </c>
      <c r="B25" s="31" t="s">
        <v>642</v>
      </c>
      <c r="C25" s="32" t="n">
        <v>1</v>
      </c>
      <c r="D25" s="71" t="n">
        <v>2000</v>
      </c>
      <c r="E25" s="60" t="n">
        <f aca="false">C25*D25</f>
        <v>2000</v>
      </c>
      <c r="F25" s="30" t="s">
        <v>354</v>
      </c>
      <c r="G25" s="68" t="n">
        <v>0.2</v>
      </c>
      <c r="H25" s="60" t="n">
        <f aca="false">E25*G25</f>
        <v>400</v>
      </c>
      <c r="I25" s="60" t="n">
        <f aca="false">E25*(1-G25)</f>
        <v>1600</v>
      </c>
      <c r="J25" s="30" t="s">
        <v>364</v>
      </c>
      <c r="K25" s="30"/>
    </row>
    <row r="26" customFormat="false" ht="15" hidden="false" customHeight="true" outlineLevel="0" collapsed="false">
      <c r="A26" s="30" t="s">
        <v>643</v>
      </c>
      <c r="B26" s="31" t="s">
        <v>644</v>
      </c>
      <c r="C26" s="32" t="n">
        <v>1</v>
      </c>
      <c r="D26" s="71" t="n">
        <v>1500</v>
      </c>
      <c r="E26" s="60" t="n">
        <f aca="false">C26*D26</f>
        <v>1500</v>
      </c>
      <c r="F26" s="30" t="s">
        <v>354</v>
      </c>
      <c r="G26" s="68" t="n">
        <v>0.7</v>
      </c>
      <c r="H26" s="60" t="n">
        <f aca="false">E26*G26</f>
        <v>1050</v>
      </c>
      <c r="I26" s="60" t="n">
        <f aca="false">E26*(1-G26)</f>
        <v>450</v>
      </c>
      <c r="J26" s="30" t="s">
        <v>645</v>
      </c>
      <c r="K26" s="30"/>
    </row>
    <row r="27" customFormat="false" ht="15" hidden="false" customHeight="true" outlineLevel="0" collapsed="false">
      <c r="A27" s="30" t="s">
        <v>646</v>
      </c>
      <c r="B27" s="31" t="s">
        <v>647</v>
      </c>
      <c r="C27" s="32" t="n">
        <v>1</v>
      </c>
      <c r="D27" s="71" t="n">
        <v>2000</v>
      </c>
      <c r="E27" s="60" t="n">
        <f aca="false">C27*D27</f>
        <v>2000</v>
      </c>
      <c r="F27" s="30" t="s">
        <v>354</v>
      </c>
      <c r="G27" s="68" t="n">
        <v>0.4</v>
      </c>
      <c r="H27" s="60" t="n">
        <f aca="false">E27*G27</f>
        <v>800</v>
      </c>
      <c r="I27" s="60" t="n">
        <f aca="false">E27*(1-G27)</f>
        <v>1200</v>
      </c>
      <c r="J27" s="30" t="s">
        <v>645</v>
      </c>
      <c r="K27" s="30"/>
    </row>
    <row r="28" customFormat="false" ht="15" hidden="false" customHeight="true" outlineLevel="0" collapsed="false">
      <c r="A28" s="33"/>
      <c r="B28" s="33" t="s">
        <v>648</v>
      </c>
      <c r="C28" s="33"/>
      <c r="D28" s="33"/>
      <c r="E28" s="61" t="n">
        <f aca="false">SUM(E15:E27)</f>
        <v>36000</v>
      </c>
      <c r="F28" s="33"/>
      <c r="G28" s="33"/>
      <c r="H28" s="61" t="n">
        <f aca="false">SUM(H15:H27)</f>
        <v>14300</v>
      </c>
      <c r="I28" s="61" t="n">
        <f aca="false">SUM(I15:I27)</f>
        <v>21700</v>
      </c>
      <c r="J28" s="33"/>
      <c r="K28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0"/>
    <col collapsed="false" customWidth="true" hidden="false" outlineLevel="0" max="10" min="3" style="1" width="14"/>
  </cols>
  <sheetData>
    <row r="1" customFormat="false" ht="25.5" hidden="false" customHeight="true" outlineLevel="0" collapsed="false">
      <c r="A1" s="26" t="s">
        <v>649</v>
      </c>
      <c r="B1" s="27"/>
      <c r="C1" s="27"/>
      <c r="D1" s="27"/>
      <c r="E1" s="27"/>
      <c r="F1" s="27"/>
      <c r="G1" s="27"/>
    </row>
    <row r="2" customFormat="false" ht="15" hidden="false" customHeight="true" outlineLevel="0" collapsed="false">
      <c r="A2" s="28" t="s">
        <v>650</v>
      </c>
      <c r="B2" s="27"/>
      <c r="C2" s="27"/>
      <c r="D2" s="27"/>
      <c r="E2" s="27"/>
      <c r="F2" s="27"/>
      <c r="G2" s="27"/>
    </row>
    <row r="3" customFormat="false" ht="15" hidden="false" customHeight="true" outlineLevel="0" collapsed="false">
      <c r="A3" s="27"/>
      <c r="B3" s="27"/>
      <c r="C3" s="27"/>
      <c r="D3" s="27"/>
      <c r="E3" s="27"/>
      <c r="F3" s="27"/>
      <c r="G3" s="27"/>
    </row>
    <row r="4" customFormat="false" ht="15" hidden="false" customHeight="true" outlineLevel="0" collapsed="false">
      <c r="A4" s="58" t="s">
        <v>651</v>
      </c>
      <c r="B4" s="27"/>
      <c r="C4" s="27"/>
      <c r="D4" s="27"/>
      <c r="E4" s="27"/>
      <c r="F4" s="27"/>
      <c r="G4" s="27"/>
    </row>
    <row r="5" customFormat="false" ht="23.25" hidden="false" customHeight="true" outlineLevel="0" collapsed="false">
      <c r="A5" s="29" t="s">
        <v>332</v>
      </c>
      <c r="B5" s="29" t="s">
        <v>334</v>
      </c>
      <c r="C5" s="29" t="s">
        <v>652</v>
      </c>
      <c r="D5" s="29" t="s">
        <v>653</v>
      </c>
      <c r="E5" s="29" t="s">
        <v>654</v>
      </c>
      <c r="F5" s="29" t="s">
        <v>655</v>
      </c>
      <c r="G5" s="29" t="s">
        <v>656</v>
      </c>
    </row>
    <row r="6" customFormat="false" ht="15" hidden="false" customHeight="true" outlineLevel="0" collapsed="false">
      <c r="A6" s="30" t="s">
        <v>342</v>
      </c>
      <c r="B6" s="59" t="str">
        <f aca="false">VLOOKUP(A6,ACTIVIDADES!$A$5:$C$50,3,FALSE())</f>
        <v>Concepto NEB + horticultura morisca alcarreña</v>
      </c>
      <c r="C6" s="65" t="n">
        <f aca="false">SUMIF(PERSONAL!$A$30:$A$31,A6,PERSONAL!$H$30:$H$31)</f>
        <v>0</v>
      </c>
      <c r="D6" s="65" t="n">
        <f aca="false">SUMIF(PERSONAL!$A$37:$A$40,A6,PERSONAL!$H$37:$H$40)</f>
        <v>0</v>
      </c>
      <c r="E6" s="65" t="n">
        <f aca="false">SUMIF(PERSONAL!$A$18:$A$24,A6,PERSONAL!$K$18:$K$24)</f>
        <v>979.3</v>
      </c>
      <c r="F6" s="65" t="n">
        <f aca="false">SUMIF(PERSONAL!$A$6:$A$12,A6,PERSONAL!$K$6:$K$12)</f>
        <v>273.72</v>
      </c>
      <c r="G6" s="60" t="n">
        <f aca="false">C6+D6+E6+F6</f>
        <v>1253.02</v>
      </c>
    </row>
    <row r="7" customFormat="false" ht="15" hidden="false" customHeight="true" outlineLevel="0" collapsed="false">
      <c r="A7" s="30" t="s">
        <v>347</v>
      </c>
      <c r="B7" s="59" t="str">
        <f aca="false">VLOOKUP(A7,ACTIVIDADES!$A$5:$C$50,3,FALSE())</f>
        <v>CUE+SIG · Itinerario digital del hortelano alcarreño (cuaderno COPRODELI-IA + integración CUE/SIGPAC)</v>
      </c>
      <c r="C7" s="65" t="n">
        <f aca="false">SUMIF(PERSONAL!$A$30:$A$31,A7,PERSONAL!$H$30:$H$31)</f>
        <v>0</v>
      </c>
      <c r="D7" s="65" t="n">
        <f aca="false">SUMIF(PERSONAL!$A$37:$A$40,A7,PERSONAL!$H$37:$H$40)</f>
        <v>0</v>
      </c>
      <c r="E7" s="65" t="n">
        <f aca="false">SUMIF(PERSONAL!$A$18:$A$24,A7,PERSONAL!$K$18:$K$24)</f>
        <v>4057.1</v>
      </c>
      <c r="F7" s="65" t="n">
        <f aca="false">SUMIF(PERSONAL!$A$6:$A$12,A7,PERSONAL!$K$6:$K$12)</f>
        <v>10291.8</v>
      </c>
      <c r="G7" s="60" t="n">
        <f aca="false">C7+D7+E7+F7</f>
        <v>14348.9</v>
      </c>
    </row>
    <row r="8" customFormat="false" ht="15" hidden="false" customHeight="true" outlineLevel="0" collapsed="false">
      <c r="A8" s="33"/>
      <c r="B8" s="33" t="s">
        <v>657</v>
      </c>
      <c r="C8" s="61" t="n">
        <f aca="false">SUM(C6:C7)</f>
        <v>0</v>
      </c>
      <c r="D8" s="61" t="n">
        <f aca="false">SUM(D6:D7)</f>
        <v>0</v>
      </c>
      <c r="E8" s="61" t="n">
        <f aca="false">SUM(E6:E7)</f>
        <v>5036.4</v>
      </c>
      <c r="F8" s="61" t="n">
        <f aca="false">SUM(F6:F7)</f>
        <v>10565.52</v>
      </c>
      <c r="G8" s="61" t="n">
        <f aca="false">SUM(G6:G7)</f>
        <v>15601.92</v>
      </c>
    </row>
    <row r="9" customFormat="false" ht="15" hidden="false" customHeight="true" outlineLevel="0" collapsed="false">
      <c r="A9" s="30"/>
      <c r="B9" s="30"/>
      <c r="C9" s="30"/>
      <c r="D9" s="30"/>
      <c r="E9" s="30"/>
      <c r="F9" s="30"/>
      <c r="G9" s="30"/>
    </row>
    <row r="10" customFormat="false" ht="15" hidden="false" customHeight="true" outlineLevel="0" collapsed="false">
      <c r="A10" s="62" t="s">
        <v>658</v>
      </c>
      <c r="B10" s="30"/>
      <c r="C10" s="30"/>
      <c r="D10" s="30"/>
      <c r="E10" s="30"/>
      <c r="F10" s="30"/>
      <c r="G10" s="30"/>
    </row>
    <row r="11" customFormat="false" ht="15" hidden="false" customHeight="true" outlineLevel="0" collapsed="false">
      <c r="A11" s="29"/>
      <c r="B11" s="29" t="s">
        <v>48</v>
      </c>
      <c r="C11" s="29" t="s">
        <v>659</v>
      </c>
      <c r="D11" s="30"/>
      <c r="E11" s="30"/>
      <c r="F11" s="30"/>
      <c r="G11" s="30"/>
    </row>
    <row r="12" customFormat="false" ht="15" hidden="false" customHeight="true" outlineLevel="0" collapsed="false">
      <c r="A12" s="30"/>
      <c r="B12" s="30" t="s">
        <v>660</v>
      </c>
      <c r="C12" s="65" t="n">
        <f aca="false">PERSONAL!$H$46+PERSONAL!$H$48</f>
        <v>12535.04</v>
      </c>
      <c r="D12" s="30"/>
      <c r="E12" s="30"/>
      <c r="F12" s="30"/>
      <c r="G12" s="30"/>
    </row>
    <row r="13" customFormat="false" ht="15" hidden="false" customHeight="true" outlineLevel="0" collapsed="false">
      <c r="A13" s="30"/>
      <c r="B13" s="30" t="s">
        <v>661</v>
      </c>
      <c r="C13" s="65" t="n">
        <f aca="false">VIAJES!$P$13</f>
        <v>14323.2</v>
      </c>
      <c r="D13" s="30"/>
      <c r="E13" s="30"/>
      <c r="F13" s="30"/>
      <c r="G13" s="30"/>
    </row>
    <row r="14" customFormat="false" ht="15" hidden="false" customHeight="true" outlineLevel="0" collapsed="false">
      <c r="A14" s="30"/>
      <c r="B14" s="30" t="s">
        <v>662</v>
      </c>
      <c r="C14" s="65" t="n">
        <f aca="false">SUMIFS(MATERIALES!$E$5:$E$14,MATERIALES!$A$5:$A$14,"B.2",MATERIALES!$J$5:$J$14,"P1")</f>
        <v>1000</v>
      </c>
      <c r="D14" s="30"/>
      <c r="E14" s="30"/>
      <c r="F14" s="30"/>
      <c r="G14" s="30"/>
    </row>
    <row r="15" customFormat="false" ht="15" hidden="false" customHeight="true" outlineLevel="0" collapsed="false">
      <c r="A15" s="27"/>
      <c r="B15" s="27" t="s">
        <v>663</v>
      </c>
      <c r="C15" s="72" t="n">
        <f aca="false">SUMIFS(MATERIALES!$E$5:$E$14,MATERIALES!$A$5:$A$14,"B.3",MATERIALES!$J$5:$J$14,"P1")</f>
        <v>1050</v>
      </c>
      <c r="D15" s="27"/>
      <c r="E15" s="27"/>
      <c r="F15" s="27"/>
      <c r="G15" s="27"/>
    </row>
    <row r="16" customFormat="false" ht="15" hidden="false" customHeight="true" outlineLevel="0" collapsed="false">
      <c r="A16" s="27"/>
      <c r="B16" s="27" t="s">
        <v>664</v>
      </c>
      <c r="C16" s="72" t="n">
        <f aca="false">SUMIFS(MATERIALES!$E$5:$E$14,MATERIALES!$A$5:$A$14,"B.4",MATERIALES!$J$5:$J$14,"P1")</f>
        <v>400</v>
      </c>
      <c r="D16" s="27"/>
      <c r="E16" s="27"/>
      <c r="F16" s="27"/>
      <c r="G16" s="27"/>
    </row>
    <row r="17" customFormat="false" ht="15" hidden="false" customHeight="true" outlineLevel="0" collapsed="false">
      <c r="A17" s="27"/>
      <c r="B17" s="30" t="s">
        <v>665</v>
      </c>
      <c r="C17" s="65" t="n">
        <f aca="false">SUMIFS(MATERIALES!$E$5:$E$14,MATERIALES!$A$5:$A$14,"B.5",MATERIALES!$J$5:$J$14,"P1")</f>
        <v>0</v>
      </c>
      <c r="D17" s="30"/>
      <c r="E17" s="27"/>
      <c r="F17" s="27"/>
      <c r="G17" s="27"/>
    </row>
    <row r="18" customFormat="false" ht="15" hidden="false" customHeight="true" outlineLevel="0" collapsed="false">
      <c r="A18" s="27"/>
      <c r="B18" s="30" t="s">
        <v>666</v>
      </c>
      <c r="C18" s="65" t="n">
        <f aca="false">SUMIFS(MATERIALES!$E$5:$E$14,MATERIALES!$A$5:$A$14,"B.6",MATERIALES!$J$5:$J$14,"P1")</f>
        <v>1500</v>
      </c>
      <c r="D18" s="30"/>
      <c r="E18" s="27"/>
      <c r="F18" s="27"/>
      <c r="G18" s="27"/>
    </row>
    <row r="19" customFormat="false" ht="15" hidden="false" customHeight="true" outlineLevel="0" collapsed="false">
      <c r="A19" s="27"/>
      <c r="B19" s="30" t="s">
        <v>667</v>
      </c>
      <c r="C19" s="65" t="n">
        <f aca="false">SUMIFS(MATERIALES!$E$5:$E$14,MATERIALES!$A$5:$A$14,"B.7",MATERIALES!$J$5:$J$14,"P1")</f>
        <v>500</v>
      </c>
      <c r="D19" s="30"/>
      <c r="E19" s="27"/>
      <c r="F19" s="27"/>
      <c r="G19" s="27"/>
    </row>
    <row r="20" customFormat="false" ht="15" hidden="false" customHeight="true" outlineLevel="0" collapsed="false">
      <c r="A20" s="27"/>
      <c r="B20" s="30" t="s">
        <v>668</v>
      </c>
      <c r="C20" s="65" t="n">
        <f aca="false">INVERSIONES!$E$10</f>
        <v>2833.62745098039</v>
      </c>
      <c r="D20" s="30"/>
      <c r="E20" s="27"/>
      <c r="F20" s="27"/>
      <c r="G20" s="27"/>
    </row>
    <row r="21" customFormat="false" ht="15" hidden="false" customHeight="true" outlineLevel="0" collapsed="false">
      <c r="A21" s="27"/>
      <c r="B21" s="30" t="s">
        <v>669</v>
      </c>
      <c r="C21" s="65" t="n">
        <f aca="false">SUMIFS(INVERSIONES!$E$15:$E$27,INVERSIONES!$F$15:$F$27,"P1")</f>
        <v>0</v>
      </c>
      <c r="D21" s="30"/>
      <c r="E21" s="27"/>
      <c r="F21" s="27"/>
      <c r="G21" s="27"/>
    </row>
    <row r="22" customFormat="false" ht="15" hidden="false" customHeight="true" outlineLevel="0" collapsed="false">
      <c r="A22" s="27"/>
      <c r="B22" s="30" t="s">
        <v>670</v>
      </c>
      <c r="C22" s="60" t="n">
        <f aca="false">($G$8+C12)*tasa_ind</f>
        <v>4220.544</v>
      </c>
      <c r="D22" s="30"/>
      <c r="E22" s="27"/>
      <c r="F22" s="27"/>
      <c r="G22" s="27"/>
    </row>
    <row r="23" customFormat="false" ht="15" hidden="false" customHeight="true" outlineLevel="0" collapsed="false">
      <c r="A23" s="63"/>
      <c r="B23" s="33" t="s">
        <v>671</v>
      </c>
      <c r="C23" s="61" t="n">
        <f aca="false">SUM(C12:C22)</f>
        <v>38362.4114509804</v>
      </c>
      <c r="D23" s="33"/>
      <c r="E23" s="63"/>
      <c r="F23" s="63"/>
      <c r="G23" s="63"/>
    </row>
    <row r="24" customFormat="false" ht="15" hidden="false" customHeight="true" outlineLevel="0" collapsed="false">
      <c r="A24" s="63"/>
      <c r="B24" s="33" t="s">
        <v>672</v>
      </c>
      <c r="C24" s="61" t="n">
        <f aca="false">$G$8+C23</f>
        <v>53964.3314509804</v>
      </c>
      <c r="D24" s="33"/>
      <c r="E24" s="63"/>
      <c r="F24" s="63"/>
      <c r="G24" s="63"/>
    </row>
    <row r="25" customFormat="false" ht="15" hidden="false" customHeight="true" outlineLevel="0" collapsed="false">
      <c r="A25" s="27"/>
      <c r="B25" s="30"/>
      <c r="C25" s="30"/>
      <c r="D25" s="30"/>
      <c r="E25" s="27"/>
      <c r="F25" s="27"/>
      <c r="G25" s="27"/>
    </row>
    <row r="26" customFormat="false" ht="15" hidden="false" customHeight="true" outlineLevel="0" collapsed="false">
      <c r="A26" s="27"/>
      <c r="B26" s="30"/>
      <c r="C26" s="30"/>
      <c r="D26" s="30"/>
      <c r="E26" s="27"/>
      <c r="F26" s="27"/>
      <c r="G26" s="27"/>
    </row>
    <row r="27" customFormat="false" ht="15" hidden="false" customHeight="true" outlineLevel="0" collapsed="false">
      <c r="A27" s="58" t="s">
        <v>673</v>
      </c>
      <c r="B27" s="30"/>
      <c r="C27" s="30"/>
      <c r="D27" s="30"/>
      <c r="E27" s="27"/>
      <c r="F27" s="27"/>
      <c r="G27" s="27"/>
    </row>
    <row r="28" customFormat="false" ht="15" hidden="false" customHeight="true" outlineLevel="0" collapsed="false">
      <c r="A28" s="66" t="s">
        <v>332</v>
      </c>
      <c r="B28" s="29" t="s">
        <v>334</v>
      </c>
      <c r="C28" s="29" t="s">
        <v>652</v>
      </c>
      <c r="D28" s="29" t="s">
        <v>653</v>
      </c>
      <c r="E28" s="66" t="s">
        <v>654</v>
      </c>
      <c r="F28" s="66" t="s">
        <v>655</v>
      </c>
      <c r="G28" s="66" t="s">
        <v>656</v>
      </c>
    </row>
    <row r="29" customFormat="false" ht="15" hidden="false" customHeight="true" outlineLevel="0" collapsed="false">
      <c r="A29" s="27" t="s">
        <v>351</v>
      </c>
      <c r="B29" s="59" t="str">
        <f aca="false">VLOOKUP(A29,ACTIVIDADES!$A$5:$C$50,3,FALSE())</f>
        <v>Drones agrarios · RGB (cartografía + regadío) + multiespectral (NDVI fitosanitario)</v>
      </c>
      <c r="C29" s="65" t="n">
        <f aca="false">SUMIF(PERSONAL!$A$30:$A$31,A29,PERSONAL!$H$30:$H$31)</f>
        <v>0</v>
      </c>
      <c r="D29" s="65" t="n">
        <f aca="false">SUMIF(PERSONAL!$A$37:$A$40,A29,PERSONAL!$H$37:$H$40)</f>
        <v>0</v>
      </c>
      <c r="E29" s="72" t="n">
        <f aca="false">SUMIF(PERSONAL!$A$18:$A$24,A29,PERSONAL!$K$18:$K$24)</f>
        <v>1454.96</v>
      </c>
      <c r="F29" s="72" t="n">
        <f aca="false">SUMIF(PERSONAL!$A$6:$A$12,A29,PERSONAL!$K$6:$K$12)</f>
        <v>2077.22</v>
      </c>
      <c r="G29" s="69" t="n">
        <f aca="false">C29+D29+E29+F29</f>
        <v>3532.18</v>
      </c>
    </row>
    <row r="30" customFormat="false" ht="15" hidden="false" customHeight="true" outlineLevel="0" collapsed="false">
      <c r="A30" s="27" t="s">
        <v>356</v>
      </c>
      <c r="B30" s="59" t="str">
        <f aca="false">VLOOKUP(A30,ACTIVIDADES!$A$5:$C$50,3,FALSE())</f>
        <v>Domo NEB · diseño digital + co-construcción (CAD → cálculo → estructura → cubierta → corcho)</v>
      </c>
      <c r="C30" s="65" t="n">
        <f aca="false">SUMIF(PERSONAL!$A$30:$A$31,A30,PERSONAL!$H$30:$H$31)</f>
        <v>0</v>
      </c>
      <c r="D30" s="65" t="n">
        <f aca="false">SUMIF(PERSONAL!$A$37:$A$40,A30,PERSONAL!$H$37:$H$40)</f>
        <v>9900</v>
      </c>
      <c r="E30" s="72" t="n">
        <f aca="false">SUMIF(PERSONAL!$A$18:$A$24,A30,PERSONAL!$K$18:$K$24)</f>
        <v>3357.6</v>
      </c>
      <c r="F30" s="72" t="n">
        <f aca="false">SUMIF(PERSONAL!$A$6:$A$12,A30,PERSONAL!$K$6:$K$12)</f>
        <v>4172.8</v>
      </c>
      <c r="G30" s="69" t="n">
        <f aca="false">C30+D30+E30+F30</f>
        <v>17430.4</v>
      </c>
    </row>
    <row r="31" customFormat="false" ht="15" hidden="false" customHeight="true" outlineLevel="0" collapsed="false">
      <c r="A31" s="27" t="s">
        <v>360</v>
      </c>
      <c r="B31" s="73" t="str">
        <f aca="false">VLOOKUP(A31,ACTIVIDADES!$A$5:$C$50,3,FALSE())</f>
        <v>Living Lab digital · sensórica IoT + fotovoltaica + comunicaciones + volcado al SIG</v>
      </c>
      <c r="C31" s="72" t="n">
        <f aca="false">SUMIF(PERSONAL!$A$30:$A$31,A31,PERSONAL!$H$30:$H$31)</f>
        <v>0</v>
      </c>
      <c r="D31" s="72" t="n">
        <f aca="false">SUMIF(PERSONAL!$A$37:$A$40,A31,PERSONAL!$H$37:$H$40)</f>
        <v>1440</v>
      </c>
      <c r="E31" s="72" t="n">
        <f aca="false">SUMIF(PERSONAL!$A$18:$A$24,A31,PERSONAL!$K$18:$K$24)</f>
        <v>3077.8</v>
      </c>
      <c r="F31" s="72" t="n">
        <f aca="false">SUMIF(PERSONAL!$A$6:$A$12,A31,PERSONAL!$K$6:$K$12)</f>
        <v>6532.8</v>
      </c>
      <c r="G31" s="69" t="n">
        <f aca="false">C31+D31+E31+F31</f>
        <v>11050.6</v>
      </c>
    </row>
    <row r="32" customFormat="false" ht="15" hidden="false" customHeight="true" outlineLevel="0" collapsed="false">
      <c r="A32" s="27" t="s">
        <v>364</v>
      </c>
      <c r="B32" s="73" t="str">
        <f aca="false">VLOOKUP(A32,ACTIVIDADES!$A$5:$C$50,3,FALSE())</f>
        <v>Ciclo productivo estacional · 4 sesiones (otoño inicio · otoño cosecha · primavera inicio · primavera cosecha)</v>
      </c>
      <c r="C32" s="72" t="n">
        <f aca="false">SUMIF(PERSONAL!$A$30:$A$31,A32,PERSONAL!$H$30:$H$31)</f>
        <v>0</v>
      </c>
      <c r="D32" s="72" t="n">
        <f aca="false">SUMIF(PERSONAL!$A$37:$A$40,A32,PERSONAL!$H$37:$H$40)</f>
        <v>0</v>
      </c>
      <c r="E32" s="72" t="n">
        <f aca="false">SUMIF(PERSONAL!$A$18:$A$24,A32,PERSONAL!$K$18:$K$24)</f>
        <v>1958.6</v>
      </c>
      <c r="F32" s="72" t="n">
        <f aca="false">SUMIF(PERSONAL!$A$6:$A$12,A32,PERSONAL!$K$6:$K$12)</f>
        <v>4014.6</v>
      </c>
      <c r="G32" s="69" t="n">
        <f aca="false">C32+D32+E32+F32</f>
        <v>5973.2</v>
      </c>
    </row>
    <row r="33" customFormat="false" ht="23.25" hidden="false" customHeight="true" outlineLevel="0" collapsed="false">
      <c r="A33" s="30" t="s">
        <v>368</v>
      </c>
      <c r="B33" s="59" t="str">
        <f aca="false">VLOOKUP(A33,ACTIVIDADES!$A$5:$C$50,3,FALSE())</f>
        <v>Jornada final NEB-Alcarria · resultados, AKIS y replicabilidad</v>
      </c>
      <c r="C33" s="65" t="n">
        <f aca="false">SUMIF(PERSONAL!$A$30:$A$31,A33,PERSONAL!$H$30:$H$31)</f>
        <v>0</v>
      </c>
      <c r="D33" s="65" t="n">
        <f aca="false">SUMIF(PERSONAL!$A$37:$A$40,A33,PERSONAL!$H$37:$H$40)</f>
        <v>0</v>
      </c>
      <c r="E33" s="65" t="n">
        <f aca="false">SUMIF(PERSONAL!$A$18:$A$24,A33,PERSONAL!$K$18:$K$24)</f>
        <v>559.6</v>
      </c>
      <c r="F33" s="65" t="n">
        <f aca="false">SUMIF(PERSONAL!$A$6:$A$12,A33,PERSONAL!$K$6:$K$12)</f>
        <v>684.3</v>
      </c>
      <c r="G33" s="60" t="n">
        <f aca="false">C33+D33+E33+F33</f>
        <v>1243.9</v>
      </c>
    </row>
    <row r="34" customFormat="false" ht="15" hidden="false" customHeight="true" outlineLevel="0" collapsed="false">
      <c r="A34" s="33"/>
      <c r="B34" s="33" t="s">
        <v>674</v>
      </c>
      <c r="C34" s="61" t="n">
        <f aca="false">SUM(C29:C33)</f>
        <v>0</v>
      </c>
      <c r="D34" s="61" t="n">
        <f aca="false">SUM(D29:D33)</f>
        <v>11340</v>
      </c>
      <c r="E34" s="61" t="n">
        <f aca="false">SUM(E29:E33)</f>
        <v>10408.56</v>
      </c>
      <c r="F34" s="61" t="n">
        <f aca="false">SUM(F29:F33)</f>
        <v>17481.72</v>
      </c>
      <c r="G34" s="61" t="n">
        <f aca="false">SUM(G29:G33)</f>
        <v>39230.28</v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</row>
    <row r="36" customFormat="false" ht="15" hidden="false" customHeight="true" outlineLevel="0" collapsed="false">
      <c r="A36" s="62" t="s">
        <v>675</v>
      </c>
      <c r="B36" s="30"/>
      <c r="C36" s="30"/>
      <c r="D36" s="30"/>
      <c r="E36" s="30"/>
      <c r="F36" s="30"/>
      <c r="G36" s="30"/>
    </row>
    <row r="37" customFormat="false" ht="15" hidden="false" customHeight="true" outlineLevel="0" collapsed="false">
      <c r="A37" s="29"/>
      <c r="B37" s="29" t="s">
        <v>48</v>
      </c>
      <c r="C37" s="29" t="s">
        <v>659</v>
      </c>
      <c r="D37" s="30"/>
      <c r="E37" s="30"/>
      <c r="F37" s="30"/>
      <c r="G37" s="30"/>
    </row>
    <row r="38" customFormat="false" ht="15" hidden="false" customHeight="true" outlineLevel="0" collapsed="false">
      <c r="A38" s="30"/>
      <c r="B38" s="30" t="s">
        <v>660</v>
      </c>
      <c r="C38" s="65" t="n">
        <f aca="false">PERSONAL!$H$47+PERSONAL!$H$49</f>
        <v>13990</v>
      </c>
      <c r="D38" s="30"/>
      <c r="E38" s="30"/>
      <c r="F38" s="30"/>
      <c r="G38" s="30"/>
    </row>
    <row r="39" customFormat="false" ht="15" hidden="false" customHeight="true" outlineLevel="0" collapsed="false">
      <c r="A39" s="30"/>
      <c r="B39" s="30" t="s">
        <v>661</v>
      </c>
      <c r="C39" s="65" t="n">
        <f aca="false">VIAJES!$P$14</f>
        <v>49396.2</v>
      </c>
      <c r="D39" s="30"/>
      <c r="E39" s="30"/>
      <c r="F39" s="30"/>
      <c r="G39" s="30"/>
    </row>
    <row r="40" customFormat="false" ht="15" hidden="false" customHeight="true" outlineLevel="0" collapsed="false">
      <c r="A40" s="30"/>
      <c r="B40" s="30" t="s">
        <v>662</v>
      </c>
      <c r="C40" s="65" t="n">
        <f aca="false">SUMIFS(MATERIALES!$E$5:$E$14,MATERIALES!$A$5:$A$14,"B.2",MATERIALES!$J$5:$J$14,"P2")</f>
        <v>0</v>
      </c>
      <c r="D40" s="30"/>
      <c r="E40" s="30"/>
      <c r="F40" s="30"/>
      <c r="G40" s="30"/>
    </row>
    <row r="41" customFormat="false" ht="15" hidden="false" customHeight="true" outlineLevel="0" collapsed="false">
      <c r="A41" s="30"/>
      <c r="B41" s="30" t="s">
        <v>663</v>
      </c>
      <c r="C41" s="65" t="n">
        <f aca="false">SUMIFS(MATERIALES!$E$5:$E$14,MATERIALES!$A$5:$A$14,"B.3",MATERIALES!$J$5:$J$14,"P2")</f>
        <v>1750</v>
      </c>
      <c r="D41" s="30"/>
      <c r="E41" s="30"/>
      <c r="F41" s="30"/>
      <c r="G41" s="30"/>
    </row>
    <row r="42" customFormat="false" ht="15" hidden="false" customHeight="true" outlineLevel="0" collapsed="false">
      <c r="A42" s="30"/>
      <c r="B42" s="30" t="s">
        <v>664</v>
      </c>
      <c r="C42" s="65" t="n">
        <f aca="false">SUMIFS(MATERIALES!$E$5:$E$14,MATERIALES!$A$5:$A$14,"B.4",MATERIALES!$J$5:$J$14,"P2")</f>
        <v>600</v>
      </c>
      <c r="D42" s="30"/>
      <c r="E42" s="30"/>
      <c r="F42" s="30"/>
      <c r="G42" s="30"/>
    </row>
    <row r="43" customFormat="false" ht="15" hidden="false" customHeight="true" outlineLevel="0" collapsed="false">
      <c r="A43" s="30"/>
      <c r="B43" s="30" t="s">
        <v>665</v>
      </c>
      <c r="C43" s="65" t="n">
        <f aca="false">SUMIFS(MATERIALES!$E$5:$E$14,MATERIALES!$A$5:$A$14,"B.5",MATERIALES!$J$5:$J$14,"P2")</f>
        <v>2800</v>
      </c>
      <c r="D43" s="30"/>
      <c r="E43" s="30"/>
      <c r="F43" s="30"/>
      <c r="G43" s="30"/>
    </row>
    <row r="44" customFormat="false" ht="15" hidden="false" customHeight="true" outlineLevel="0" collapsed="false">
      <c r="A44" s="30"/>
      <c r="B44" s="30" t="s">
        <v>666</v>
      </c>
      <c r="C44" s="65" t="n">
        <f aca="false">SUMIFS(MATERIALES!$E$5:$E$14,MATERIALES!$A$5:$A$14,"B.6",MATERIALES!$J$5:$J$14,"P2")</f>
        <v>3500</v>
      </c>
      <c r="D44" s="30"/>
      <c r="E44" s="30"/>
      <c r="F44" s="30"/>
      <c r="G44" s="30"/>
    </row>
    <row r="45" customFormat="false" ht="15" hidden="false" customHeight="true" outlineLevel="0" collapsed="false">
      <c r="A45" s="30"/>
      <c r="B45" s="30" t="s">
        <v>667</v>
      </c>
      <c r="C45" s="65" t="n">
        <f aca="false">SUMIFS(MATERIALES!$E$5:$E$14,MATERIALES!$A$5:$A$14,"B.7",MATERIALES!$J$5:$J$14,"P2")</f>
        <v>1000</v>
      </c>
      <c r="D45" s="30"/>
      <c r="E45" s="30"/>
      <c r="F45" s="30"/>
      <c r="G45" s="30"/>
    </row>
    <row r="46" customFormat="false" ht="15" hidden="false" customHeight="true" outlineLevel="0" collapsed="false">
      <c r="A46" s="30"/>
      <c r="B46" s="30" t="s">
        <v>676</v>
      </c>
      <c r="C46" s="65" t="n">
        <f aca="false">INVERSIONES!$F$10</f>
        <v>4048.03921568627</v>
      </c>
      <c r="D46" s="30"/>
      <c r="E46" s="30"/>
      <c r="F46" s="30"/>
      <c r="G46" s="30"/>
    </row>
    <row r="47" customFormat="false" ht="15" hidden="false" customHeight="true" outlineLevel="0" collapsed="false">
      <c r="A47" s="30"/>
      <c r="B47" s="30" t="s">
        <v>677</v>
      </c>
      <c r="C47" s="65" t="n">
        <f aca="false">SUMIFS(INVERSIONES!$E$15:$E$27,INVERSIONES!$F$15:$F$27,"P2")</f>
        <v>36000</v>
      </c>
      <c r="D47" s="30"/>
      <c r="E47" s="30"/>
      <c r="F47" s="30"/>
      <c r="G47" s="30"/>
    </row>
    <row r="48" customFormat="false" ht="15" hidden="false" customHeight="true" outlineLevel="0" collapsed="false">
      <c r="A48" s="30"/>
      <c r="B48" s="30" t="s">
        <v>670</v>
      </c>
      <c r="C48" s="60" t="n">
        <f aca="false">($G$34+C38)*tasa_ind</f>
        <v>7983.042</v>
      </c>
      <c r="D48" s="30"/>
      <c r="E48" s="30"/>
      <c r="F48" s="30"/>
      <c r="G48" s="30"/>
    </row>
    <row r="49" customFormat="false" ht="15" hidden="false" customHeight="true" outlineLevel="0" collapsed="false">
      <c r="A49" s="33"/>
      <c r="B49" s="33" t="s">
        <v>678</v>
      </c>
      <c r="C49" s="61" t="n">
        <f aca="false">SUM(C38:C48)</f>
        <v>121067.281215686</v>
      </c>
      <c r="D49" s="33"/>
      <c r="E49" s="33"/>
      <c r="F49" s="33"/>
      <c r="G49" s="33"/>
    </row>
    <row r="50" customFormat="false" ht="15" hidden="false" customHeight="true" outlineLevel="0" collapsed="false">
      <c r="A50" s="33"/>
      <c r="B50" s="33" t="s">
        <v>679</v>
      </c>
      <c r="C50" s="61" t="n">
        <f aca="false">$G$34+C49</f>
        <v>160297.561215686</v>
      </c>
      <c r="D50" s="33"/>
      <c r="E50" s="33"/>
      <c r="F50" s="33"/>
      <c r="G50" s="33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</row>
    <row r="52" customFormat="false" ht="15" hidden="false" customHeight="true" outlineLevel="0" collapsed="false">
      <c r="A52" s="63"/>
      <c r="B52" s="63" t="s">
        <v>680</v>
      </c>
      <c r="C52" s="64" t="n">
        <f aca="false">C24+C50</f>
        <v>214261.892666667</v>
      </c>
      <c r="D52" s="63"/>
      <c r="E52" s="63"/>
      <c r="F52" s="63"/>
      <c r="G52" s="63"/>
    </row>
    <row r="53" customFormat="false" ht="15" hidden="false" customHeight="true" outlineLevel="0" collapsed="false">
      <c r="A53" s="27"/>
      <c r="B53" s="27"/>
      <c r="C53" s="27"/>
      <c r="D53" s="27"/>
      <c r="E53" s="27"/>
      <c r="F53" s="27"/>
      <c r="G53" s="27"/>
    </row>
    <row r="54" customFormat="false" ht="15" hidden="false" customHeight="true" outlineLevel="0" collapsed="false">
      <c r="A54" s="27"/>
      <c r="B54" s="30" t="s">
        <v>681</v>
      </c>
      <c r="C54" s="60" t="n">
        <f aca="false">PERSONAL!$H$32+PERSONAL!$H$41+PERSONAL!$K$25+PERSONAL!$K$13+PERSONAL!$H$50+VIAJES!$P$12+SUM(MATERIALES!$E$5:$E$14)+INVERSIONES!$G$10+INVERSIONES!$E$28</f>
        <v>202058.306666667</v>
      </c>
      <c r="D54" s="30"/>
      <c r="E54" s="27"/>
      <c r="F54" s="27"/>
      <c r="G54" s="27"/>
    </row>
    <row r="55" customFormat="false" ht="15" hidden="false" customHeight="true" outlineLevel="0" collapsed="false">
      <c r="A55" s="27"/>
      <c r="B55" s="30"/>
      <c r="C55" s="30"/>
      <c r="D55" s="30"/>
      <c r="E55" s="27"/>
      <c r="F55" s="27"/>
      <c r="G55" s="27"/>
    </row>
    <row r="56" customFormat="false" ht="15" hidden="false" customHeight="true" outlineLevel="0" collapsed="false">
      <c r="A56" s="27"/>
      <c r="B56" s="30"/>
      <c r="C56" s="30"/>
      <c r="D56" s="30"/>
      <c r="E56" s="27"/>
      <c r="F56" s="27"/>
      <c r="G56" s="27"/>
    </row>
    <row r="57" customFormat="false" ht="15" hidden="false" customHeight="true" outlineLevel="0" collapsed="false">
      <c r="A57" s="58" t="s">
        <v>682</v>
      </c>
      <c r="B57" s="30"/>
      <c r="C57" s="30"/>
      <c r="D57" s="30"/>
      <c r="E57" s="27"/>
      <c r="F57" s="27"/>
      <c r="G57" s="27"/>
    </row>
    <row r="58" customFormat="false" ht="15" hidden="false" customHeight="true" outlineLevel="0" collapsed="false">
      <c r="A58" s="66"/>
      <c r="B58" s="29" t="s">
        <v>48</v>
      </c>
      <c r="C58" s="29" t="s">
        <v>49</v>
      </c>
      <c r="D58" s="29"/>
      <c r="E58" s="66" t="s">
        <v>577</v>
      </c>
      <c r="F58" s="66" t="s">
        <v>683</v>
      </c>
      <c r="G58" s="66" t="s">
        <v>684</v>
      </c>
    </row>
    <row r="59" customFormat="false" ht="15" hidden="false" customHeight="true" outlineLevel="0" collapsed="false">
      <c r="A59" s="27"/>
      <c r="B59" s="30" t="s">
        <v>685</v>
      </c>
      <c r="C59" s="65" t="n">
        <f aca="false">PERSONAL!$H$50</f>
        <v>26525.04</v>
      </c>
      <c r="D59" s="30"/>
      <c r="E59" s="72" t="n">
        <f aca="false">$C$54*tope_coord</f>
        <v>40411.6613333333</v>
      </c>
      <c r="F59" s="74" t="n">
        <f aca="false">C59/E59</f>
        <v>0.656370936626675</v>
      </c>
      <c r="G59" s="27" t="str">
        <f aca="false">IF(C59&lt;=E59,"OK","SUPERADO")</f>
        <v>OK</v>
      </c>
    </row>
    <row r="60" customFormat="false" ht="15" hidden="false" customHeight="true" outlineLevel="0" collapsed="false">
      <c r="A60" s="27"/>
      <c r="B60" s="30" t="s">
        <v>686</v>
      </c>
      <c r="C60" s="65" t="n">
        <f aca="false">VIAJES!$P$12</f>
        <v>63719.4</v>
      </c>
      <c r="D60" s="30"/>
      <c r="E60" s="72" t="n">
        <f aca="false">$C$54*tope_viajes</f>
        <v>80823.3226666667</v>
      </c>
      <c r="F60" s="74" t="n">
        <f aca="false">C60/E60</f>
        <v>0.788378872553817</v>
      </c>
      <c r="G60" s="27" t="str">
        <f aca="false">IF(C60&lt;=E60,"OK","SUPERADO")</f>
        <v>OK</v>
      </c>
    </row>
    <row r="61" customFormat="false" ht="15" hidden="false" customHeight="true" outlineLevel="0" collapsed="false">
      <c r="A61" s="27"/>
      <c r="B61" s="30" t="s">
        <v>687</v>
      </c>
      <c r="C61" s="65" t="n">
        <f aca="false">INVERSIONES!$G$10+INVERSIONES!$E$28</f>
        <v>42881.6666666667</v>
      </c>
      <c r="D61" s="30"/>
      <c r="E61" s="72" t="n">
        <f aca="false">$C$54*tope_inv</f>
        <v>101029.153333333</v>
      </c>
      <c r="F61" s="74" t="n">
        <f aca="false">C61/E61</f>
        <v>0.424448441383883</v>
      </c>
      <c r="G61" s="27" t="str">
        <f aca="false">IF(C61&lt;=E61,"OK","SUPERADO")</f>
        <v>OK</v>
      </c>
    </row>
    <row r="62" customFormat="false" ht="15" hidden="false" customHeight="true" outlineLevel="0" collapsed="false">
      <c r="A62" s="27"/>
      <c r="B62" s="30" t="s">
        <v>688</v>
      </c>
      <c r="C62" s="65" t="n">
        <f aca="false">SUMIF(MATERIALES!$A$5:$A$14,"B.2",MATERIALES!$E$5:$E$14)</f>
        <v>1000</v>
      </c>
      <c r="D62" s="30"/>
      <c r="E62" s="72" t="n">
        <f aca="false">tope_ent</f>
        <v>5000</v>
      </c>
      <c r="F62" s="74" t="n">
        <f aca="false">C62/E62</f>
        <v>0.2</v>
      </c>
      <c r="G62" s="27" t="str">
        <f aca="false">IF(C62&lt;=E62,"OK","SUPERADO")</f>
        <v>OK</v>
      </c>
    </row>
    <row r="63" customFormat="false" ht="15" hidden="false" customHeight="true" outlineLevel="0" collapsed="false">
      <c r="A63" s="27"/>
      <c r="B63" s="30" t="s">
        <v>689</v>
      </c>
      <c r="C63" s="65" t="n">
        <f aca="false">SUMIF(MATERIALES!$A$5:$A$14,"B.4",MATERIALES!$E$5:$E$14)</f>
        <v>1000</v>
      </c>
      <c r="D63" s="30"/>
      <c r="E63" s="72" t="n">
        <f aca="false">tope_seg</f>
        <v>1000</v>
      </c>
      <c r="F63" s="74" t="n">
        <f aca="false">C63/E63</f>
        <v>1</v>
      </c>
      <c r="G63" s="27" t="str">
        <f aca="false">IF(C63&lt;=E63,"OK","SUPERADO")</f>
        <v>OK</v>
      </c>
    </row>
    <row r="64" customFormat="false" ht="15" hidden="false" customHeight="true" outlineLevel="0" collapsed="false">
      <c r="A64" s="27"/>
      <c r="B64" s="30" t="s">
        <v>690</v>
      </c>
      <c r="C64" s="65" t="n">
        <f aca="false">SUMIF(MATERIALES!$A$5:$A$14,"B.7",MATERIALES!$E$5:$E$14)</f>
        <v>1500</v>
      </c>
      <c r="D64" s="30"/>
      <c r="E64" s="72" t="n">
        <f aca="false">tope_com</f>
        <v>1500</v>
      </c>
      <c r="F64" s="74" t="n">
        <f aca="false">C64/E64</f>
        <v>1</v>
      </c>
      <c r="G64" s="27" t="str">
        <f aca="false">IF(C64&lt;=E64,"OK","SUPERADO")</f>
        <v>OK</v>
      </c>
    </row>
    <row r="65" customFormat="false" ht="15" hidden="false" customHeight="true" outlineLevel="0" collapsed="false">
      <c r="A65" s="27"/>
      <c r="B65" s="30" t="s">
        <v>691</v>
      </c>
      <c r="C65" s="65" t="n">
        <f aca="false">$C$52</f>
        <v>214261.892666667</v>
      </c>
      <c r="D65" s="30"/>
      <c r="E65" s="72" t="n">
        <f aca="false">tope_subv</f>
        <v>500000</v>
      </c>
      <c r="F65" s="74" t="n">
        <f aca="false">C65/E65</f>
        <v>0.428523785333333</v>
      </c>
      <c r="G65" s="27" t="str">
        <f aca="false">IF(C65&lt;=E65,"OK","SUPERADO")</f>
        <v>OK</v>
      </c>
    </row>
    <row r="66" customFormat="false" ht="15" hidden="false" customHeight="true" outlineLevel="0" collapsed="false">
      <c r="A66" s="27"/>
      <c r="B66" s="30" t="s">
        <v>692</v>
      </c>
      <c r="C66" s="65" t="n">
        <f aca="false">$C$52</f>
        <v>214261.892666667</v>
      </c>
      <c r="D66" s="30"/>
      <c r="E66" s="72" t="n">
        <f aca="false">min_subv</f>
        <v>70000</v>
      </c>
      <c r="F66" s="74" t="n">
        <f aca="false">C66/E66</f>
        <v>3.06088418095238</v>
      </c>
      <c r="G66" s="27" t="str">
        <f aca="false">IF(C66&gt;=E66,"OK","BAJO MIN")</f>
        <v>OK</v>
      </c>
    </row>
    <row r="67" customFormat="false" ht="15" hidden="false" customHeight="true" outlineLevel="0" collapsed="false">
      <c r="A67" s="27"/>
      <c r="B67" s="30"/>
      <c r="C67" s="30"/>
      <c r="D67" s="30"/>
      <c r="E67" s="27"/>
      <c r="F67" s="27"/>
      <c r="G67" s="27"/>
    </row>
    <row r="68" customFormat="false" ht="15" hidden="false" customHeight="true" outlineLevel="0" collapsed="false">
      <c r="A68" s="27"/>
      <c r="B68" s="27"/>
      <c r="C68" s="27"/>
      <c r="D68" s="27"/>
      <c r="E68" s="27"/>
      <c r="F68" s="27"/>
      <c r="G68" s="27"/>
    </row>
    <row r="69" customFormat="false" ht="27.75" hidden="false" customHeight="true" outlineLevel="0" collapsed="false">
      <c r="A69" s="27"/>
      <c r="B69" s="30"/>
      <c r="C69" s="30"/>
      <c r="D69" s="27"/>
      <c r="E69" s="27"/>
      <c r="F69" s="27"/>
      <c r="G69" s="27"/>
    </row>
    <row r="70" customFormat="false" ht="15" hidden="false" customHeight="true" outlineLevel="0" collapsed="false">
      <c r="A70" s="27"/>
      <c r="B70" s="27"/>
      <c r="C70" s="27"/>
      <c r="D70" s="27"/>
      <c r="E70" s="27"/>
      <c r="F70" s="27"/>
      <c r="G70" s="27"/>
    </row>
    <row r="71" customFormat="false" ht="15" hidden="false" customHeight="true" outlineLevel="0" collapsed="false">
      <c r="A71" s="27"/>
      <c r="B71" s="27"/>
      <c r="C71" s="27"/>
      <c r="D71" s="27"/>
      <c r="E71" s="27"/>
      <c r="F71" s="27"/>
      <c r="G71" s="27"/>
    </row>
    <row r="72" customFormat="false" ht="15" hidden="false" customHeight="true" outlineLevel="0" collapsed="false">
      <c r="A72" s="27"/>
      <c r="B72" s="27"/>
      <c r="C72" s="27"/>
      <c r="D72" s="27"/>
      <c r="E72" s="27"/>
      <c r="F72" s="27"/>
      <c r="G72" s="27"/>
    </row>
    <row r="73" customFormat="false" ht="15" hidden="false" customHeight="true" outlineLevel="0" collapsed="false">
      <c r="A73" s="27"/>
      <c r="B73" s="27"/>
      <c r="C73" s="27"/>
      <c r="D73" s="27"/>
      <c r="E73" s="27"/>
      <c r="F73" s="27"/>
      <c r="G73" s="27"/>
    </row>
    <row r="74" customFormat="false" ht="15" hidden="false" customHeight="true" outlineLevel="0" collapsed="false">
      <c r="A74" s="27"/>
      <c r="B74" s="27"/>
      <c r="C74" s="27"/>
      <c r="D74" s="27"/>
      <c r="E74" s="27"/>
      <c r="F74" s="27"/>
      <c r="G74" s="27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</row>
    <row r="76" customFormat="false" ht="15" hidden="false" customHeight="true" outlineLevel="0" collapsed="false">
      <c r="A76" s="27"/>
      <c r="B76" s="30"/>
      <c r="C76" s="30"/>
      <c r="D76" s="30"/>
      <c r="E76" s="30"/>
      <c r="F76" s="30"/>
      <c r="G76" s="30"/>
    </row>
    <row r="77" customFormat="false" ht="15" hidden="false" customHeight="true" outlineLevel="0" collapsed="false">
      <c r="A77" s="27"/>
      <c r="B77" s="30"/>
      <c r="C77" s="30"/>
      <c r="D77" s="30"/>
      <c r="E77" s="30"/>
      <c r="F77" s="30"/>
      <c r="G77" s="30"/>
    </row>
    <row r="78" customFormat="false" ht="15" hidden="false" customHeight="true" outlineLevel="0" collapsed="false">
      <c r="A78" s="27"/>
      <c r="B78" s="30"/>
      <c r="C78" s="30"/>
      <c r="D78" s="30"/>
      <c r="E78" s="30"/>
      <c r="F78" s="30"/>
      <c r="G78" s="30"/>
    </row>
    <row r="79" customFormat="false" ht="15" hidden="false" customHeight="true" outlineLevel="0" collapsed="false">
      <c r="A79" s="27"/>
      <c r="B79" s="30"/>
      <c r="C79" s="30"/>
      <c r="D79" s="30"/>
      <c r="E79" s="30"/>
      <c r="F79" s="30"/>
      <c r="G79" s="30"/>
    </row>
    <row r="80" customFormat="false" ht="15" hidden="false" customHeight="true" outlineLevel="0" collapsed="false">
      <c r="A80" s="27"/>
      <c r="B80" s="30"/>
      <c r="C80" s="30"/>
      <c r="D80" s="30"/>
      <c r="E80" s="30"/>
      <c r="F80" s="30"/>
      <c r="G80" s="30"/>
    </row>
    <row r="81" customFormat="false" ht="15" hidden="false" customHeight="true" outlineLevel="0" collapsed="false">
      <c r="A81" s="27"/>
      <c r="B81" s="30"/>
      <c r="C81" s="30"/>
      <c r="D81" s="30"/>
      <c r="E81" s="30"/>
      <c r="F81" s="30"/>
      <c r="G81" s="30"/>
    </row>
    <row r="82" customFormat="false" ht="15" hidden="false" customHeight="true" outlineLevel="0" collapsed="false">
      <c r="A82" s="27"/>
      <c r="B82" s="30"/>
      <c r="C82" s="30"/>
      <c r="D82" s="30"/>
      <c r="E82" s="30"/>
      <c r="F82" s="30"/>
      <c r="G82" s="30"/>
    </row>
    <row r="83" customFormat="false" ht="15" hidden="false" customHeight="true" outlineLevel="0" collapsed="false">
      <c r="A83" s="27"/>
      <c r="B83" s="30"/>
      <c r="C83" s="30"/>
      <c r="D83" s="30"/>
      <c r="E83" s="30"/>
      <c r="F83" s="30"/>
      <c r="G83" s="30"/>
    </row>
  </sheetData>
  <conditionalFormatting sqref="B76:G83">
    <cfRule type="expression" priority="2" aboveAverage="0" equalAverage="0" bottom="0" percent="0" rank="0" text="" dxfId="0">
      <formula>$G76="SUPERADO"</formula>
    </cfRule>
    <cfRule type="expression" priority="3" aboveAverage="0" equalAverage="0" bottom="0" percent="0" rank="0" text="" dxfId="1">
      <formula>$G76="BAJO MIN"</formula>
    </cfRule>
    <cfRule type="expression" priority="4" aboveAverage="0" equalAverage="0" bottom="0" percent="0" rank="0" text="" dxfId="2">
      <formula>$G76="OK"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2026-05-11T14:50:27Z</dcterms:created>
  <dc:creator>openpyxl</dc:creator>
  <dc:description/>
  <dc:language>en-US</dc:language>
  <cp:lastModifiedBy/>
  <dcterms:modified xsi:type="dcterms:W3CDTF">2026-05-12T18:46:43Z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