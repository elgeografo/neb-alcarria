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PARAMETROS" sheetId="2" state="visible" r:id="rId4"/>
    <sheet name="REFERENCIAS_RD" sheetId="3" state="visible" r:id="rId5"/>
    <sheet name="ACTIVIDADES" sheetId="4" state="visible" r:id="rId6"/>
    <sheet name="PERSONAL" sheetId="5" state="visible" r:id="rId7"/>
    <sheet name="VIAJES" sheetId="6" state="visible" r:id="rId8"/>
    <sheet name="MATERIALES" sheetId="7" state="visible" r:id="rId9"/>
    <sheet name="INVERSIONES" sheetId="8" state="visible" r:id="rId10"/>
    <sheet name="PRESUPUESTO" sheetId="9" state="visible" r:id="rId11"/>
  </sheets>
  <definedNames>
    <definedName function="false" hidden="false" name="actividades_asist_estud" vbProcedure="false">ACTIVIDADES!$G$5:$G$50</definedName>
    <definedName function="false" hidden="false" name="actividades_asist_prof" vbProcedure="false">ACTIVIDADES!$F$5:$F$50</definedName>
    <definedName function="false" hidden="false" name="actividades_asist_total" vbProcedure="false">ACTIVIDADES!$H$5:$H$50</definedName>
    <definedName function="false" hidden="false" name="actividades_dias" vbProcedure="false">ACTIVIDADES!$D$5:$D$50</definedName>
    <definedName function="false" hidden="false" name="actividades_ediciones" vbProcedure="false">ACTIVIDADES!$E$5:$E$50</definedName>
    <definedName function="false" hidden="false" name="alojamiento" vbProcedure="false">PARAMETROS!$C$21</definedName>
    <definedName function="false" hidden="false" name="bus_dia" vbProcedure="false">PARAMETROS!$C$52</definedName>
    <definedName function="false" hidden="false" name="cap_bus" vbProcedure="false">PARAMETROS!$C$53</definedName>
    <definedName function="false" hidden="false" name="ext_h" vbProcedure="false">PARAMETROS!$C$14</definedName>
    <definedName function="false" hidden="false" name="gp1_ss" vbProcedure="false">PARAMETROS!$C$7</definedName>
    <definedName function="false" hidden="false" name="gp2_ss" vbProcedure="false">PARAMETROS!$C$8</definedName>
    <definedName function="false" hidden="false" name="gp3_ss" vbProcedure="false">PARAMETROS!$C$9</definedName>
    <definedName function="false" hidden="false" name="gp4_ss" vbProcedure="false">PARAMETROS!$C$10</definedName>
    <definedName function="false" hidden="false" name="gp5_ss" vbProcedure="false">PARAMETROS!$C$11</definedName>
    <definedName function="false" hidden="false" name="horas_anuales" vbProcedure="false">PARAMETROS!$C$15</definedName>
    <definedName function="false" hidden="false" name="inten_C" vbProcedure="false">PARAMETROS!$C$42</definedName>
    <definedName function="false" hidden="false" name="km_coche" vbProcedure="false">PARAMETROS!$C$24</definedName>
    <definedName function="false" hidden="false" name="km_madrid_pastrana" vbProcedure="false">PARAMETROS!$C$51</definedName>
    <definedName function="false" hidden="false" name="manut_dia" vbProcedure="false">PARAMETROS!$C$22</definedName>
    <definedName function="false" hidden="false" name="manut_med" vbProcedure="false">PARAMETROS!$C$23</definedName>
    <definedName function="false" hidden="false" name="meses_p1" vbProcedure="false">PARAMETROS!$C$46</definedName>
    <definedName function="false" hidden="false" name="meses_p2" vbProcedure="false">PARAMETROS!$C$47</definedName>
    <definedName function="false" hidden="false" name="meses_proy" vbProcedure="false">PARAMETROS!$C$48</definedName>
    <definedName function="false" hidden="false" name="min_subv" vbProcedure="false">PARAMETROS!$C$31</definedName>
    <definedName function="false" hidden="false" name="pct_p1" vbProcedure="false">PARAMETROS!$C$44</definedName>
    <definedName function="false" hidden="false" name="pct_p2" vbProcedure="false">PARAMETROS!$C$45</definedName>
    <definedName function="false" hidden="false" name="ratio_prep" vbProcedure="false">PARAMETROS!$C$16</definedName>
    <definedName function="false" hidden="false" name="tasa_ind" vbProcedure="false">PARAMETROS!$C$40</definedName>
    <definedName function="false" hidden="false" name="tope_aud" vbProcedure="false">PARAMETROS!$C$39</definedName>
    <definedName function="false" hidden="false" name="tope_com" vbProcedure="false">PARAMETROS!$C$36</definedName>
    <definedName function="false" hidden="false" name="tope_coord" vbProcedure="false">PARAMETROS!$C$32</definedName>
    <definedName function="false" hidden="false" name="tope_ent" vbProcedure="false">PARAMETROS!$C$37</definedName>
    <definedName function="false" hidden="false" name="tope_fungible" vbProcedure="false">PARAMETROS!$C$35</definedName>
    <definedName function="false" hidden="false" name="tope_inv" vbProcedure="false">PARAMETROS!$C$34</definedName>
    <definedName function="false" hidden="false" name="tope_seg" vbProcedure="false">PARAMETROS!$C$38</definedName>
    <definedName function="false" hidden="false" name="tope_subv" vbProcedure="false">PARAMETROS!$C$30</definedName>
    <definedName function="false" hidden="false" name="tope_viajes" vbProcedure="false">PARAMETROS!$C$33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<sst xmlns="http://schemas.openxmlformats.org/spreadsheetml/2006/main" count="1131" uniqueCount="662">
  <si>
    <t xml:space="preserve">NEB-ALCARRIA — Presupuesto</t>
  </si>
  <si>
    <t xml:space="preserve">Programa I.B (Actividades demostrativas) — RD 251/2024 — Convocatoria 2026</t>
  </si>
  <si>
    <t xml:space="preserve">Versión</t>
  </si>
  <si>
    <t xml:space="preserve">1.0 (2026-05-09)</t>
  </si>
  <si>
    <t xml:space="preserve">Tope subvención</t>
  </si>
  <si>
    <t xml:space="preserve">500.000 € (mín. 70.000 €) por propuesta de actividades</t>
  </si>
  <si>
    <t xml:space="preserve">Objetivo del proyecto</t>
  </si>
  <si>
    <t xml:space="preserve">~250.000–300.000 € (conservador, margen frente al tope)</t>
  </si>
  <si>
    <t xml:space="preserve">Leyenda de colores y formato</t>
  </si>
  <si>
    <t xml:space="preserve">Azul</t>
  </si>
  <si>
    <t xml:space="preserve">Input (cifra modificable por el usuario)</t>
  </si>
  <si>
    <t xml:space="preserve">Negro</t>
  </si>
  <si>
    <t xml:space="preserve">Fórmula / cálculo derivado</t>
  </si>
  <si>
    <t xml:space="preserve">Verde</t>
  </si>
  <si>
    <t xml:space="preserve">Enlace a celda de otra hoja</t>
  </si>
  <si>
    <t xml:space="preserve">Fondo amarillo</t>
  </si>
  <si>
    <t xml:space="preserve">Hipótesis clave / atención</t>
  </si>
  <si>
    <t xml:space="preserve">Fondo verde claro</t>
  </si>
  <si>
    <t xml:space="preserve">Total / subtotal</t>
  </si>
  <si>
    <t xml:space="preserve">Fondo rojo claro</t>
  </si>
  <si>
    <t xml:space="preserve">Tope rebasado (control)</t>
  </si>
  <si>
    <t xml:space="preserve">Índice de hojas</t>
  </si>
  <si>
    <t xml:space="preserve">1. PARAMETROS</t>
  </si>
  <si>
    <t xml:space="preserve">Fuente única de tarifas, dietas y topes (azul = inputs)</t>
  </si>
  <si>
    <t xml:space="preserve">2. REFERENCIAS_RD</t>
  </si>
  <si>
    <t xml:space="preserve">Cita textual del RD/FAQ/Infoday para cada parámetro</t>
  </si>
  <si>
    <t xml:space="preserve">3. ACTIVIDADES</t>
  </si>
  <si>
    <t xml:space="preserve">Listado maestro A1–A23 (familia, días, ediciones, asistentes)</t>
  </si>
  <si>
    <t xml:space="preserve">4. PERSONAL</t>
  </si>
  <si>
    <t xml:space="preserve">A.1–A.5 (docente, apoyo, coordinación) por actividad</t>
  </si>
  <si>
    <t xml:space="preserve">5. VIAJES</t>
  </si>
  <si>
    <t xml:space="preserve">B.1 transporte + alojamiento + manutención por actividad/edición</t>
  </si>
  <si>
    <t xml:space="preserve">6. MATERIALES</t>
  </si>
  <si>
    <t xml:space="preserve">B.2–B.7 (entornos, fungible, seguros, auditoría, alquileres, comunicación)</t>
  </si>
  <si>
    <t xml:space="preserve">7. INVERSIONES</t>
  </si>
  <si>
    <t xml:space="preserve">C.1 inventariables (amortización) y C.2 otras inversiones</t>
  </si>
  <si>
    <t xml:space="preserve">8. PRESUPUESTO</t>
  </si>
  <si>
    <t xml:space="preserve">Resumen final por partida, P1/P2, UPM/COPRODELI, control de topes</t>
  </si>
  <si>
    <t xml:space="preserve">Cómo usar</t>
  </si>
  <si>
    <t xml:space="preserve">1. TODOS los parámetros se editan SOLO en la hoja PARAMETROS. Cualquier cambio se propaga al resto.</t>
  </si>
  <si>
    <t xml:space="preserve">2. Las cifras con FONDO AMARILLO son hipótesis nuestras: revísalas antes de presentar la solicitud.</t>
  </si>
  <si>
    <t xml:space="preserve">3. La hoja PRESUPUESTO incluye un panel de control con semáforo: si una celda se pone roja, hay tope rebasado.</t>
  </si>
  <si>
    <t xml:space="preserve">4. Las horas de estudiantes (TE) NO suman al coste de personal (RD: solo asalariados); sí a viajes/dietas.</t>
  </si>
  <si>
    <t xml:space="preserve">5. La amortización C.1 se calcula automáticamente con vida útil del activo y meses de proyecto (17 m).</t>
  </si>
  <si>
    <t xml:space="preserve">6. Para validar el archivo, ejecutar scripts/recalc.py de la skill xlsx tras cualquier cambio importante.</t>
  </si>
  <si>
    <t xml:space="preserve">PARAMETROS — fuente única de verdad</t>
  </si>
  <si>
    <t xml:space="preserve">Cualquier modificación de tarifas, dietas o topes se hace AQUÍ y se propaga al resto del libro.</t>
  </si>
  <si>
    <t xml:space="preserve">A · TARIFAS DE PERSONAL</t>
  </si>
  <si>
    <t xml:space="preserve">Concepto</t>
  </si>
  <si>
    <t xml:space="preserve">Valor</t>
  </si>
  <si>
    <t xml:space="preserve">Unidad</t>
  </si>
  <si>
    <t xml:space="preserve">Ref RD</t>
  </si>
  <si>
    <t xml:space="preserve">Notas</t>
  </si>
  <si>
    <t xml:space="preserve">GP1 con Seguridad Social — Doctor/Licenciado/Ingeniero</t>
  </si>
  <si>
    <t xml:space="preserve">€/h</t>
  </si>
  <si>
    <t xml:space="preserve">RD-01</t>
  </si>
  <si>
    <t xml:space="preserve">Tope coste/hora personal propio</t>
  </si>
  <si>
    <t xml:space="preserve">GP2 con SS — Ing. Técnico/Diplomado</t>
  </si>
  <si>
    <t xml:space="preserve">RD-02</t>
  </si>
  <si>
    <t xml:space="preserve">GP3 con SS — Jefes admin/taller, Ayudantes FPII</t>
  </si>
  <si>
    <t xml:space="preserve">RD-03</t>
  </si>
  <si>
    <t xml:space="preserve">GP4 con SS — Auxiliares administrativos</t>
  </si>
  <si>
    <t xml:space="preserve">RD-04</t>
  </si>
  <si>
    <t xml:space="preserve">GP5 con SS — Oficial 1ª/2ª/3ª, especialistas, peones</t>
  </si>
  <si>
    <t xml:space="preserve">RD-05</t>
  </si>
  <si>
    <t xml:space="preserve">Albañiles, carpinteros, instaladores</t>
  </si>
  <si>
    <t xml:space="preserve">GP1 sin SS</t>
  </si>
  <si>
    <t xml:space="preserve">RD-06</t>
  </si>
  <si>
    <t xml:space="preserve">GP5 sin SS</t>
  </si>
  <si>
    <t xml:space="preserve">RD-07</t>
  </si>
  <si>
    <t xml:space="preserve">Personal externo (A.1, A.2, A.3 ext.) — IVA excl.</t>
  </si>
  <si>
    <t xml:space="preserve">RD-08</t>
  </si>
  <si>
    <t xml:space="preserve">Tope uniforme; sin desglose por GP</t>
  </si>
  <si>
    <t xml:space="preserve">Tope horas anuales por trabajador</t>
  </si>
  <si>
    <t xml:space="preserve">h/año</t>
  </si>
  <si>
    <t xml:space="preserve">RD-09</t>
  </si>
  <si>
    <t xml:space="preserve">Estándar laboral</t>
  </si>
  <si>
    <t xml:space="preserve">Ratio prep. docencia (h prep / h impartida)</t>
  </si>
  <si>
    <t xml:space="preserve">ratio</t>
  </si>
  <si>
    <t xml:space="preserve">RD-10</t>
  </si>
  <si>
    <t xml:space="preserve">Solo personal docente; NO aplica al apoyo (FAQ 3.34)</t>
  </si>
  <si>
    <t xml:space="preserve">B · DIETAS Y KILOMETRAJE (RD 462/2002 grupo 2)</t>
  </si>
  <si>
    <t xml:space="preserve">Alojamiento</t>
  </si>
  <si>
    <t xml:space="preserve">€/noche/persona</t>
  </si>
  <si>
    <t xml:space="preserve">RD-11</t>
  </si>
  <si>
    <t xml:space="preserve">Mismo importe para todo el equipo y participantes</t>
  </si>
  <si>
    <t xml:space="preserve">Manutención día completo</t>
  </si>
  <si>
    <t xml:space="preserve">€/día/persona</t>
  </si>
  <si>
    <t xml:space="preserve">RD-12</t>
  </si>
  <si>
    <t xml:space="preserve">Almuerzo o cena</t>
  </si>
  <si>
    <t xml:space="preserve">€/persona</t>
  </si>
  <si>
    <t xml:space="preserve">RD-13</t>
  </si>
  <si>
    <t xml:space="preserve">FAQ 3.33: aplica si jornada sin pernocta</t>
  </si>
  <si>
    <t xml:space="preserve">Locomoción coche particular</t>
  </si>
  <si>
    <t xml:space="preserve">€/km</t>
  </si>
  <si>
    <t xml:space="preserve">RD-14</t>
  </si>
  <si>
    <t xml:space="preserve">Locomoción motocicleta</t>
  </si>
  <si>
    <t xml:space="preserve">RD-15</t>
  </si>
  <si>
    <t xml:space="preserve">C · TOPES Y PORCENTAJES</t>
  </si>
  <si>
    <t xml:space="preserve">Tope subvención total</t>
  </si>
  <si>
    <t xml:space="preserve">€</t>
  </si>
  <si>
    <t xml:space="preserve">RD-16</t>
  </si>
  <si>
    <t xml:space="preserve">Por propuesta de actividades</t>
  </si>
  <si>
    <t xml:space="preserve">Mínimo subvención total</t>
  </si>
  <si>
    <t xml:space="preserve">RD-17</t>
  </si>
  <si>
    <t xml:space="preserve">Si justificas menos, fraude de ley</t>
  </si>
  <si>
    <t xml:space="preserve">Tope coordinación (A.5) sobre directos</t>
  </si>
  <si>
    <t xml:space="preserve">RD-18</t>
  </si>
  <si>
    <t xml:space="preserve">Máximo 20 %</t>
  </si>
  <si>
    <t xml:space="preserve">Tope viajes (B.1) sobre directos</t>
  </si>
  <si>
    <t xml:space="preserve">RD-19</t>
  </si>
  <si>
    <t xml:space="preserve">Máximo 40 %</t>
  </si>
  <si>
    <t xml:space="preserve">Tope inversiones (C.1+C.2) sobre directos</t>
  </si>
  <si>
    <t xml:space="preserve">RD-20</t>
  </si>
  <si>
    <t xml:space="preserve">Máximo 50 %; intensidad 65 %</t>
  </si>
  <si>
    <t xml:space="preserve">Tope material fungible (B.3) por participante</t>
  </si>
  <si>
    <t xml:space="preserve">€/part.</t>
  </si>
  <si>
    <t xml:space="preserve">RD-21</t>
  </si>
  <si>
    <t xml:space="preserve">Por participante único, no edición</t>
  </si>
  <si>
    <t xml:space="preserve">Tope comunicación (B.7)</t>
  </si>
  <si>
    <t xml:space="preserve">RD-22</t>
  </si>
  <si>
    <t xml:space="preserve">Por propuesta</t>
  </si>
  <si>
    <t xml:space="preserve">Tope entornos virtuales (B.2)</t>
  </si>
  <si>
    <t xml:space="preserve">RD-23</t>
  </si>
  <si>
    <t xml:space="preserve">Tope seguros (B.4)</t>
  </si>
  <si>
    <t xml:space="preserve">RD-24</t>
  </si>
  <si>
    <t xml:space="preserve">Tope auditoría (B.5)</t>
  </si>
  <si>
    <t xml:space="preserve">RD-25</t>
  </si>
  <si>
    <t xml:space="preserve">Máx. 1 % subvención</t>
  </si>
  <si>
    <t xml:space="preserve">Tasa indirectos (sobre personal directo)</t>
  </si>
  <si>
    <t xml:space="preserve">RD-26</t>
  </si>
  <si>
    <t xml:space="preserve">Tipo fijo</t>
  </si>
  <si>
    <t xml:space="preserve">Intensidad de ayuda (general)</t>
  </si>
  <si>
    <t xml:space="preserve">RD-27</t>
  </si>
  <si>
    <t xml:space="preserve">100 % (excepto inversiones C: 65 %)</t>
  </si>
  <si>
    <t xml:space="preserve">Intensidad de ayuda inversiones C</t>
  </si>
  <si>
    <t xml:space="preserve">RD-28</t>
  </si>
  <si>
    <t xml:space="preserve">Subcontratación — autorización si &gt; 60 k Y &gt; 20 %</t>
  </si>
  <si>
    <t xml:space="preserve">—</t>
  </si>
  <si>
    <t xml:space="preserve">RD-29</t>
  </si>
  <si>
    <t xml:space="preserve">Se pide al MAPA</t>
  </si>
  <si>
    <t xml:space="preserve">% objetivo presupuesto P1</t>
  </si>
  <si>
    <t xml:space="preserve">RD-30</t>
  </si>
  <si>
    <t xml:space="preserve">Recomendado por FEGA (informativo)</t>
  </si>
  <si>
    <t xml:space="preserve">% objetivo presupuesto P2</t>
  </si>
  <si>
    <t xml:space="preserve">RD-31</t>
  </si>
  <si>
    <t xml:space="preserve">(informativo)</t>
  </si>
  <si>
    <t xml:space="preserve">Meses Periodo 1 (P1)</t>
  </si>
  <si>
    <t xml:space="preserve">meses</t>
  </si>
  <si>
    <t xml:space="preserve">nov 2026 → may 2027</t>
  </si>
  <si>
    <t xml:space="preserve">Meses Periodo 2 (P2)</t>
  </si>
  <si>
    <t xml:space="preserve">jul 2027 → mar 2028 (incluye cierre)</t>
  </si>
  <si>
    <t xml:space="preserve">Duración proyecto total (meses)</t>
  </si>
  <si>
    <t xml:space="preserve">Calculado: meses P1 + meses P2</t>
  </si>
  <si>
    <t xml:space="preserve">D · DATOS TERRITORIALES Y LOGÍSTICOS</t>
  </si>
  <si>
    <t xml:space="preserve">Ref</t>
  </si>
  <si>
    <t xml:space="preserve">Distancia Madrid → Pastrana (ida)</t>
  </si>
  <si>
    <t xml:space="preserve">km</t>
  </si>
  <si>
    <t xml:space="preserve">Aprox.</t>
  </si>
  <si>
    <t xml:space="preserve">Coste alquiler bus 50 plazas (ida y vuelta)</t>
  </si>
  <si>
    <t xml:space="preserve">€/día</t>
  </si>
  <si>
    <t xml:space="preserve">Estimación de mercado</t>
  </si>
  <si>
    <t xml:space="preserve">Capacidad bus</t>
  </si>
  <si>
    <t xml:space="preserve">plazas</t>
  </si>
  <si>
    <t xml:space="preserve">REFERENCIAS NORMATIVAS — base documental de cada parámetro</t>
  </si>
  <si>
    <t xml:space="preserve">Cada fila enlaza un parámetro de PARAMETROS con la cita textual del RD 251/2024, FAQ del MAPA o el Infoday FEGA.</t>
  </si>
  <si>
    <t xml:space="preserve">Cita textual (extracto)</t>
  </si>
  <si>
    <t xml:space="preserve">Referencia normativa</t>
  </si>
  <si>
    <t xml:space="preserve">Fuente / FAQ</t>
  </si>
  <si>
    <t xml:space="preserve">GP1 con SS</t>
  </si>
  <si>
    <t xml:space="preserve">27,98 €/h</t>
  </si>
  <si>
    <t xml:space="preserve">"Coste hora por grupo profesional CON Seguridad Social: GP 1 = 27,98"</t>
  </si>
  <si>
    <t xml:space="preserve">RD 251/2024 anexo costes unitarios</t>
  </si>
  <si>
    <t xml:space="preserve">Convocatoria 2026 / Resolución FEGA 2-ago-2023</t>
  </si>
  <si>
    <t xml:space="preserve">Doctor, Licenciado, Ingeniero, Arquitecto</t>
  </si>
  <si>
    <t xml:space="preserve">GP2 con SS</t>
  </si>
  <si>
    <t xml:space="preserve">19,62 €/h</t>
  </si>
  <si>
    <t xml:space="preserve">"GP 2 = 19,62"</t>
  </si>
  <si>
    <t xml:space="preserve">idem</t>
  </si>
  <si>
    <t xml:space="preserve">Ing. Técnico, Diplomado, Arquitecto Técnico</t>
  </si>
  <si>
    <t xml:space="preserve">GP3 con SS</t>
  </si>
  <si>
    <t xml:space="preserve">16,00 €/h</t>
  </si>
  <si>
    <t xml:space="preserve">"GP 3 = 16"</t>
  </si>
  <si>
    <t xml:space="preserve">Jefes admin/taller, Ayudantes no titulados (FP II)</t>
  </si>
  <si>
    <t xml:space="preserve">GP4 con SS</t>
  </si>
  <si>
    <t xml:space="preserve">15,73 €/h</t>
  </si>
  <si>
    <t xml:space="preserve">"GP 4 = 15,73"</t>
  </si>
  <si>
    <t xml:space="preserve">Auxiliares administrativos</t>
  </si>
  <si>
    <t xml:space="preserve">GP5 con SS</t>
  </si>
  <si>
    <t xml:space="preserve">12,47 €/h</t>
  </si>
  <si>
    <t xml:space="preserve">"GP 5 = 12,47"</t>
  </si>
  <si>
    <t xml:space="preserve">Oficial 1ª/2ª/3ª, especialistas, peones</t>
  </si>
  <si>
    <t xml:space="preserve">22,21 €/h</t>
  </si>
  <si>
    <t xml:space="preserve">"Coste hora límite por grupo profesional SIN Seguridad Social: GP 1 = 22,21"</t>
  </si>
  <si>
    <t xml:space="preserve">Trabajadores no cotizantes al Régimen General</t>
  </si>
  <si>
    <t xml:space="preserve">9,51 €/h</t>
  </si>
  <si>
    <t xml:space="preserve">"GP 5 = 9,51"</t>
  </si>
  <si>
    <t xml:space="preserve">Personal externo</t>
  </si>
  <si>
    <t xml:space="preserve">90 €/h IVA excl.</t>
  </si>
  <si>
    <t xml:space="preserve">"En el caso del personal docente externo el importe máximo de financiación será de 90 euros la hora, IVA excluido"</t>
  </si>
  <si>
    <t xml:space="preserve">RD 251/2024 art. 8.1.a.1</t>
  </si>
  <si>
    <t xml:space="preserve">Convocatoria 2026</t>
  </si>
  <si>
    <t xml:space="preserve">Aplica a personal docente externo (A.1) y apoyo externo (A.2)</t>
  </si>
  <si>
    <t xml:space="preserve">Tope horas anuales</t>
  </si>
  <si>
    <t xml:space="preserve">1.720 h/año</t>
  </si>
  <si>
    <t xml:space="preserve">"El número máximo de horas serán 1720 horas anuales"</t>
  </si>
  <si>
    <t xml:space="preserve">FAQ 3.34</t>
  </si>
  <si>
    <t xml:space="preserve">FAQs Convocatoria 2026</t>
  </si>
  <si>
    <t xml:space="preserve">Personal de apoyo</t>
  </si>
  <si>
    <t xml:space="preserve">Ratio preparación docente</t>
  </si>
  <si>
    <t xml:space="preserve">1,5 h prep / h impartida</t>
  </si>
  <si>
    <t xml:space="preserve">"podrán contabilizarse las horas de preparación de las actividades hasta un límite de 1,5 horas por hora impartida"</t>
  </si>
  <si>
    <t xml:space="preserve">RD 251/2024 art. 8.1.a.1.i</t>
  </si>
  <si>
    <t xml:space="preserve">SOLO personal docente. NO aplica al personal de apoyo (FAQ 3.34)</t>
  </si>
  <si>
    <t xml:space="preserve">65,97 €/noche</t>
  </si>
  <si>
    <t xml:space="preserve">"alojamiento 65,97 euros/día"</t>
  </si>
  <si>
    <t xml:space="preserve">RD 462/2002 grupo 2</t>
  </si>
  <si>
    <t xml:space="preserve">Convocatoria 2026 ap. Quinto.1.a.3º</t>
  </si>
  <si>
    <t xml:space="preserve">Mismo importe para personal y participantes</t>
  </si>
  <si>
    <t xml:space="preserve">37,40 €/día</t>
  </si>
  <si>
    <t xml:space="preserve">"manutención 37,40 euros/día completo"</t>
  </si>
  <si>
    <t xml:space="preserve">Almuerzo / cena</t>
  </si>
  <si>
    <t xml:space="preserve">18,70 €</t>
  </si>
  <si>
    <t xml:space="preserve">"18,70 euros/almuerzo o cena"</t>
  </si>
  <si>
    <t xml:space="preserve">Convocatoria 2026 / FAQ 3.33</t>
  </si>
  <si>
    <t xml:space="preserve">FAQ 3.33: jornada sin pernocta = aplica media dieta (18,70 €)</t>
  </si>
  <si>
    <t xml:space="preserve">Locomoción coche</t>
  </si>
  <si>
    <t xml:space="preserve">0,26 €/km</t>
  </si>
  <si>
    <t xml:space="preserve">"0,26 euros/kilómetro recorrido por el uso de automóviles"</t>
  </si>
  <si>
    <t xml:space="preserve">RD 462/2002</t>
  </si>
  <si>
    <t xml:space="preserve">Locomoción moto</t>
  </si>
  <si>
    <t xml:space="preserve">0,106 €/km</t>
  </si>
  <si>
    <t xml:space="preserve">"0,106 euros/kilómetro recorrido por el uso de motocicletas"</t>
  </si>
  <si>
    <t xml:space="preserve">500.000 €</t>
  </si>
  <si>
    <t xml:space="preserve">Tope máximo por propuesta de actividades</t>
  </si>
  <si>
    <t xml:space="preserve">Infoday FEGA</t>
  </si>
  <si>
    <t xml:space="preserve">Mínimo subvención</t>
  </si>
  <si>
    <t xml:space="preserve">70.000 €</t>
  </si>
  <si>
    <t xml:space="preserve">"hemos puesto una iniciativa mínima por propuesta de actividades que son 70.000"</t>
  </si>
  <si>
    <t xml:space="preserve">Si justificas menos = casi fraude de ley</t>
  </si>
  <si>
    <t xml:space="preserve">Tope coordinación</t>
  </si>
  <si>
    <t xml:space="preserve">20 % directos</t>
  </si>
  <si>
    <t xml:space="preserve">"Los gastos de personal de coordinación no podrán exceder del 20 % de los gastos directos"</t>
  </si>
  <si>
    <t xml:space="preserve">RD 251/2024 art. 8.1.a.1.iii</t>
  </si>
  <si>
    <t xml:space="preserve">Tope viajes y dietas</t>
  </si>
  <si>
    <t xml:space="preserve">40 % directos</t>
  </si>
  <si>
    <t xml:space="preserve">"Los gastos de transporte, alojamiento y manutención no podrán exceder el 40 % de los gastos directos"</t>
  </si>
  <si>
    <t xml:space="preserve">RD 251/2024 art. 8.1.a.5º</t>
  </si>
  <si>
    <t xml:space="preserve">Acumulado: personal + participantes + estudiantes</t>
  </si>
  <si>
    <t xml:space="preserve">Tope inversiones</t>
  </si>
  <si>
    <t xml:space="preserve">50 % directos · intensidad 65 %</t>
  </si>
  <si>
    <t xml:space="preserve">"importe máximo para la adquisición de estos bienes inventariables será de un 50 % de los gastos directos…intensidad de ayuda máxima del 65 %"</t>
  </si>
  <si>
    <t xml:space="preserve">RD 251/2024 art. 8.1.a.10º</t>
  </si>
  <si>
    <t xml:space="preserve">Convocatoria 2026 ap. Quinto</t>
  </si>
  <si>
    <t xml:space="preserve">Aplica a C.1 + C.2 conjuntamente</t>
  </si>
  <si>
    <t xml:space="preserve">Tope material fungible (B.3)</t>
  </si>
  <si>
    <t xml:space="preserve">40 €/participante</t>
  </si>
  <si>
    <t xml:space="preserve">"Máximo subvencionable de 40 euros por participante"</t>
  </si>
  <si>
    <t xml:space="preserve">Por participante único TOTAL del proyecto, no por edición</t>
  </si>
  <si>
    <t xml:space="preserve">1.500 €</t>
  </si>
  <si>
    <t xml:space="preserve">"Se establece un límite máximo de 1.500 euros por propuesta de actividades"</t>
  </si>
  <si>
    <t xml:space="preserve">RD 251/2024 art. 8.1.c</t>
  </si>
  <si>
    <t xml:space="preserve">Roll-ups, folletos, web, RRSS</t>
  </si>
  <si>
    <t xml:space="preserve">5.000 €</t>
  </si>
  <si>
    <t xml:space="preserve">"Se establece un límite máximo de 5.000 euros por Propuesta de Actividades"</t>
  </si>
  <si>
    <t xml:space="preserve">1.000 €</t>
  </si>
  <si>
    <t xml:space="preserve">Tope partida B.4</t>
  </si>
  <si>
    <t xml:space="preserve">Anexo XXII</t>
  </si>
  <si>
    <t xml:space="preserve">5.000 € · 1 % subvención</t>
  </si>
  <si>
    <t xml:space="preserve">Auditor: 1 % subvención concedida, máx. 5.000 €</t>
  </si>
  <si>
    <t xml:space="preserve">Tasa indirectos</t>
  </si>
  <si>
    <t xml:space="preserve">15 % personal directo</t>
  </si>
  <si>
    <t xml:space="preserve">"Estos costes se calcularán a un tipo fijo del 15 % de los costes directos de personal subvencionables"</t>
  </si>
  <si>
    <t xml:space="preserve">RD 251/2024 art. 8.1.b</t>
  </si>
  <si>
    <t xml:space="preserve">Por analogía art. 54.b Reg. UE 2021/1060</t>
  </si>
  <si>
    <t xml:space="preserve">Intensidad ayuda general</t>
  </si>
  <si>
    <t xml:space="preserve">100 %</t>
  </si>
  <si>
    <t xml:space="preserve">Intensidad ayuda al 100 % salvo C</t>
  </si>
  <si>
    <t xml:space="preserve">Intensidad ayuda C</t>
  </si>
  <si>
    <t xml:space="preserve">65 %</t>
  </si>
  <si>
    <t xml:space="preserve">"intensidad de ayuda máxima del 65 %"</t>
  </si>
  <si>
    <t xml:space="preserve">Subcontratación</t>
  </si>
  <si>
    <t xml:space="preserve">autorización si &gt; 60.000 € Y &gt; 20 %</t>
  </si>
  <si>
    <t xml:space="preserve">"la subcontratación de entidades vinculadas y las subcontrataciones elevadas que es pedir más de 60.000 € y más de un 20 %"</t>
  </si>
  <si>
    <t xml:space="preserve">Ley General Subvenciones</t>
  </si>
  <si>
    <t xml:space="preserve">Distribución P1 / P2</t>
  </si>
  <si>
    <t xml:space="preserve">30 / 70</t>
  </si>
  <si>
    <t xml:space="preserve">"recomendamos que dividáis vuestro presupuesto en un 30 % para el primer periodo de ejecución y en un 70 %"</t>
  </si>
  <si>
    <t xml:space="preserve">Recomendación; no obligatorio</t>
  </si>
  <si>
    <t xml:space="preserve">FAQ-3.34</t>
  </si>
  <si>
    <t xml:space="preserve">Personal de apoyo NO sujeto a 1,5 h prep</t>
  </si>
  <si>
    <t xml:space="preserve">"se define al personal de apoyo como personal 'no docente' por lo que no aplica dicha consideración"</t>
  </si>
  <si>
    <t xml:space="preserve">Novedad 2026: importante para acondicionamiento Living Lab</t>
  </si>
  <si>
    <t xml:space="preserve">FAQ-3.33</t>
  </si>
  <si>
    <t xml:space="preserve">Media dieta sin pernocta</t>
  </si>
  <si>
    <t xml:space="preserve">"jornada (6 horas) sin pernoctación… aplica… media dieta"</t>
  </si>
  <si>
    <t xml:space="preserve">FAQ 3.33</t>
  </si>
  <si>
    <t xml:space="preserve">FAQ-IB-DUR</t>
  </si>
  <si>
    <t xml:space="preserve">Actividad demostrativa ≤ 2 días</t>
  </si>
  <si>
    <t xml:space="preserve">"demostraciones presenciales, de corta duración (no superior a dos días)"</t>
  </si>
  <si>
    <t xml:space="preserve">Anexo II.B plantilla</t>
  </si>
  <si>
    <t xml:space="preserve">Plantilla Convocatoria 2026</t>
  </si>
  <si>
    <t xml:space="preserve">Hay que descomponer el proyecto en jornadas demostrativas de ≤ 2 días</t>
  </si>
  <si>
    <t xml:space="preserve">FAQ-PRESEN</t>
  </si>
  <si>
    <t xml:space="preserve">I.B = 100 % presencial</t>
  </si>
  <si>
    <t xml:space="preserve">"las actividades demostrativas… solo son presenciales, no se puede hacer demostraciones online"</t>
  </si>
  <si>
    <t xml:space="preserve">FAQ-PART</t>
  </si>
  <si>
    <t xml:space="preserve">Mínimo participantes</t>
  </si>
  <si>
    <t xml:space="preserve">10 / actividad</t>
  </si>
  <si>
    <t xml:space="preserve">"todas las actividades… deben de contar con un mínimo de 10 participantes"</t>
  </si>
  <si>
    <t xml:space="preserve">Guía del Solicitante</t>
  </si>
  <si>
    <t xml:space="preserve">AMORT</t>
  </si>
  <si>
    <t xml:space="preserve">Amortización C.1 = solo periodo subvencionable</t>
  </si>
  <si>
    <t xml:space="preserve">"La amortización correspondiente al periodo subvencionable en caso de compra de nueva maquinaria y equipo"</t>
  </si>
  <si>
    <t xml:space="preserve">RD 251/2024 art. 8.1.a.10º.i</t>
  </si>
  <si>
    <t xml:space="preserve">NO se imputa el 100 % de la compra; sólo cuota</t>
  </si>
  <si>
    <t xml:space="preserve">ACTIVIDADES — listado maestro A1–A23</t>
  </si>
  <si>
    <t xml:space="preserve">Asistencias totales = (Asist. prof + Asist. estud) × Ediciones. Inputs en azul.</t>
  </si>
  <si>
    <t xml:space="preserve">Id</t>
  </si>
  <si>
    <t xml:space="preserve">Familia</t>
  </si>
  <si>
    <t xml:space="preserve">Actividad</t>
  </si>
  <si>
    <t xml:space="preserve">Días</t>
  </si>
  <si>
    <t xml:space="preserve">Ediciones</t>
  </si>
  <si>
    <t xml:space="preserve">Asist. prof./ed.</t>
  </si>
  <si>
    <t xml:space="preserve">Asist. estud./ed.</t>
  </si>
  <si>
    <t xml:space="preserve">Asist. total</t>
  </si>
  <si>
    <t xml:space="preserve">Periodo</t>
  </si>
  <si>
    <t xml:space="preserve">Ventana</t>
  </si>
  <si>
    <t xml:space="preserve">A1</t>
  </si>
  <si>
    <t xml:space="preserve">F1 · Concepto NEB</t>
  </si>
  <si>
    <t xml:space="preserve">Concepto NEB aplicado a la microexplotación alcarreña</t>
  </si>
  <si>
    <t xml:space="preserve">P1</t>
  </si>
  <si>
    <t xml:space="preserve">ene 2027</t>
  </si>
  <si>
    <t xml:space="preserve">A2</t>
  </si>
  <si>
    <t xml:space="preserve">F2 · CUE+SIG</t>
  </si>
  <si>
    <t xml:space="preserve">Cumplimentación CUE/SIEX</t>
  </si>
  <si>
    <t xml:space="preserve">P1+P2</t>
  </si>
  <si>
    <t xml:space="preserve">feb · sep 2027</t>
  </si>
  <si>
    <t xml:space="preserve">A3</t>
  </si>
  <si>
    <t xml:space="preserve">SIGPAC y declaración</t>
  </si>
  <si>
    <t xml:space="preserve">mar 2027</t>
  </si>
  <si>
    <t xml:space="preserve">A4</t>
  </si>
  <si>
    <t xml:space="preserve">SIG QGIS + NDVI en campo</t>
  </si>
  <si>
    <t xml:space="preserve">abr 2027</t>
  </si>
  <si>
    <t xml:space="preserve">A5</t>
  </si>
  <si>
    <t xml:space="preserve">F3 · IoT+riego</t>
  </si>
  <si>
    <t xml:space="preserve">Despliegue red IoT en huerta</t>
  </si>
  <si>
    <t xml:space="preserve">P2</t>
  </si>
  <si>
    <t xml:space="preserve">sep 2027</t>
  </si>
  <si>
    <t xml:space="preserve">A6</t>
  </si>
  <si>
    <t xml:space="preserve">Demostración riego automatizado</t>
  </si>
  <si>
    <t xml:space="preserve">oct 2027 · feb 2028</t>
  </si>
  <si>
    <t xml:space="preserve">A7</t>
  </si>
  <si>
    <t xml:space="preserve">Volcado automatizado al CUE</t>
  </si>
  <si>
    <t xml:space="preserve">oct 2027</t>
  </si>
  <si>
    <t xml:space="preserve">A8</t>
  </si>
  <si>
    <t xml:space="preserve">F4 · Diseño digital</t>
  </si>
  <si>
    <t xml:space="preserve">CAD instalaciones de madera</t>
  </si>
  <si>
    <t xml:space="preserve">may 2027</t>
  </si>
  <si>
    <t xml:space="preserve">A9</t>
  </si>
  <si>
    <t xml:space="preserve">Cálculo y planos del domo geodésico</t>
  </si>
  <si>
    <t xml:space="preserve">A10</t>
  </si>
  <si>
    <t xml:space="preserve">F5 · Domo NEB</t>
  </si>
  <si>
    <t xml:space="preserve">Levantamiento de la estructura del domo</t>
  </si>
  <si>
    <t xml:space="preserve">jul 2027</t>
  </si>
  <si>
    <t xml:space="preserve">A11</t>
  </si>
  <si>
    <t xml:space="preserve">Anclajes y fijaciones del domo</t>
  </si>
  <si>
    <t xml:space="preserve">A12</t>
  </si>
  <si>
    <t xml:space="preserve">Cubierta y entelado del domo</t>
  </si>
  <si>
    <t xml:space="preserve">jul–ago 2027</t>
  </si>
  <si>
    <t xml:space="preserve">A13</t>
  </si>
  <si>
    <t xml:space="preserve">Acabado e impermeabilización con corcho</t>
  </si>
  <si>
    <t xml:space="preserve">ago 2027</t>
  </si>
  <si>
    <t xml:space="preserve">A14</t>
  </si>
  <si>
    <t xml:space="preserve">F6 · Equipamiento</t>
  </si>
  <si>
    <t xml:space="preserve">Instalación fotovoltaica</t>
  </si>
  <si>
    <t xml:space="preserve">A15</t>
  </si>
  <si>
    <t xml:space="preserve">Conectividad satelital y red</t>
  </si>
  <si>
    <t xml:space="preserve">A16</t>
  </si>
  <si>
    <t xml:space="preserve">F7 · Despliegue terreno</t>
  </si>
  <si>
    <t xml:space="preserve">Despliegue de sensores en la huerta</t>
  </si>
  <si>
    <t xml:space="preserve">A17</t>
  </si>
  <si>
    <t xml:space="preserve">Vuelo dronístico RGB + multiespectral</t>
  </si>
  <si>
    <t xml:space="preserve">oct 2027 · abr 2028</t>
  </si>
  <si>
    <t xml:space="preserve">A18</t>
  </si>
  <si>
    <t xml:space="preserve">F8 · Ciclo productivo</t>
  </si>
  <si>
    <t xml:space="preserve">Jornada de inicio del ciclo otoño</t>
  </si>
  <si>
    <t xml:space="preserve">A19</t>
  </si>
  <si>
    <t xml:space="preserve">Seguimiento medio ciclo otoño</t>
  </si>
  <si>
    <t xml:space="preserve">nov 2027</t>
  </si>
  <si>
    <t xml:space="preserve">A20</t>
  </si>
  <si>
    <t xml:space="preserve">Cosecha + lectura de datos otoño</t>
  </si>
  <si>
    <t xml:space="preserve">dic 2027</t>
  </si>
  <si>
    <t xml:space="preserve">A21</t>
  </si>
  <si>
    <t xml:space="preserve">Jornada de inicio del ciclo primavera</t>
  </si>
  <si>
    <t xml:space="preserve">feb 2028</t>
  </si>
  <si>
    <t xml:space="preserve">A22</t>
  </si>
  <si>
    <t xml:space="preserve">Cosecha + lectura de datos primavera</t>
  </si>
  <si>
    <t xml:space="preserve">abr 2028</t>
  </si>
  <si>
    <t xml:space="preserve">A23</t>
  </si>
  <si>
    <t xml:space="preserve">F9 · Cierre</t>
  </si>
  <si>
    <t xml:space="preserve">Jornada final de resultados del Living Lab</t>
  </si>
  <si>
    <t xml:space="preserve">A24</t>
  </si>
  <si>
    <t xml:space="preserve">F10 · Software open-source</t>
  </si>
  <si>
    <t xml:space="preserve">Configuración del cuaderno digital open-source para microexplotación hortícola (FarmOS adaptado · TRL5 → TRL7)</t>
  </si>
  <si>
    <t xml:space="preserve">A25</t>
  </si>
  <si>
    <t xml:space="preserve">Configuración del SIG open-source (QGIS + QField) para microexplotaciones (TRL5 → TRL7)</t>
  </si>
  <si>
    <t xml:space="preserve">TOTAL</t>
  </si>
  <si>
    <t xml:space="preserve">Cómo se usan estos números</t>
  </si>
  <si>
    <t xml:space="preserve">Asistencias totales (col. H)</t>
  </si>
  <si>
    <t xml:space="preserve">Fórmula: (Asist. prof./ed. + Asist. estud./ed.) × Ediciones. Es la cifra de "asistencias-edición" del proyecto, NO de personas únicas.</t>
  </si>
  <si>
    <t xml:space="preserve">Viajes y dietas (B.1)</t>
  </si>
  <si>
    <t xml:space="preserve">Multiplican el aforo total por las dietas oficiales: 37,40 €/día completo · 18,70 €/media · 65,97 €/noche · 0,26 €/km. Hoja VIAJES.</t>
  </si>
  <si>
    <t xml:space="preserve">Material fungible (B.3)</t>
  </si>
  <si>
    <t xml:space="preserve">Tope 40 €/participante ÚNICO del proyecto (no por edición). Estimación 60–90 únicos al final → 2.400–3.600 €.</t>
  </si>
  <si>
    <t xml:space="preserve">Anexo II.B sec. 3.4 «Usuarios finales»</t>
  </si>
  <si>
    <t xml:space="preserve">Criterio B2 del baremo. Hay que justificar el perfil y la cifra. Las dos columnas alimentan directamente esa justificación.</t>
  </si>
  <si>
    <t xml:space="preserve">Mínimo legal</t>
  </si>
  <si>
    <t xml:space="preserve">FEGA: ≥ 10 participantes/edición. Todas nuestras actividades lo cumplen con holgura (la más baja, 16).</t>
  </si>
  <si>
    <t xml:space="preserve">Por qué separamos profesionales y estudiantes</t>
  </si>
  <si>
    <t xml:space="preserve">Exigencia del RD 251/2024</t>
  </si>
  <si>
    <t xml:space="preserve">Programa I.B exige destinatarios finales = "profesionales del sector agroalimentario o forestal" (agricultores activos, técnicos, asesores, gestores de explotación, cooperativas).</t>
  </si>
  <si>
    <t xml:space="preserve">Estudiantes admitidos como "futuros profesionales"</t>
  </si>
  <si>
    <t xml:space="preserve">FAQ del MAPA: los alumnos UPM en prácticas computan como "futuros profesionales del sector agroforestal", pero el evaluador valora el RATIO.</t>
  </si>
  <si>
    <t xml:space="preserve">Tratamiento económico (asistentes)</t>
  </si>
  <si>
    <t xml:space="preserve">IGUAL para ambos: NI profesionales NI estudiantes cobran por asistir (son destinatarios, no personal). A AMBOS se les pueden pagar viajes, manutención y alojamiento con cargo a B.1.</t>
  </si>
  <si>
    <t xml:space="preserve">Distinción prof / est = normativa, no económica</t>
  </si>
  <si>
    <t xml:space="preserve">Sirve para justificar el perfil de los destinatarios en la sec. 3.4 del Anexo II.B (criterio B2) y para defender el ratio ante el evaluador.</t>
  </si>
  <si>
    <t xml:space="preserve">Ratio defendible</t>
  </si>
  <si>
    <t xml:space="preserve">Si el grueso fueran estudiantes, el evaluador podría descalificar la propuesta como "no transferencia al sector". Mantener al menos ~70 % profesionales.</t>
  </si>
  <si>
    <t xml:space="preserve">Caso aparte: estudiantes como colaboradores no remunerados</t>
  </si>
  <si>
    <t xml:space="preserve">Si un estudiante aporta TRABAJO físico al acondicionamiento del Living Lab (precorte de madera, cableado IoT, etc.), figura en las columnas "h Estud. UPM" y "h Estud. COPR" de la hoja PERSONAL. Sus horas NO se imputan a A.4 (no son asalariados, RD art. 8.1.a.1) pero se reflejan para mostrar el esfuerzo total del proyecto y reforzar la innovación interactiva multiactor.</t>
  </si>
  <si>
    <t xml:space="preserve">Cifras actuales por familia y por qué son así</t>
  </si>
  <si>
    <t xml:space="preserve">Actividades</t>
  </si>
  <si>
    <t xml:space="preserve">prof./ed.</t>
  </si>
  <si>
    <t xml:space="preserve">est./ed.</t>
  </si>
  <si>
    <t xml:space="preserve">Edic.</t>
  </si>
  <si>
    <t xml:space="preserve">Razón</t>
  </si>
  <si>
    <t xml:space="preserve">15</t>
  </si>
  <si>
    <t xml:space="preserve">5</t>
  </si>
  <si>
    <t xml:space="preserve">1</t>
  </si>
  <si>
    <t xml:space="preserve">Jornada de lanzamiento abierta a la comunidad</t>
  </si>
  <si>
    <t xml:space="preserve">F2 · CUE + SIG</t>
  </si>
  <si>
    <t xml:space="preserve">A2 · A3 · A4</t>
  </si>
  <si>
    <t xml:space="preserve">15-18</t>
  </si>
  <si>
    <t xml:space="preserve">4-5</t>
  </si>
  <si>
    <t xml:space="preserve">1-2</t>
  </si>
  <si>
    <t xml:space="preserve">Núcleo del baremo (línea estratégica A: CUE). Alto peso de profesionales.</t>
  </si>
  <si>
    <t xml:space="preserve">F3 · IoT + riego</t>
  </si>
  <si>
    <t xml:space="preserve">A5 · A6 · A7</t>
  </si>
  <si>
    <t xml:space="preserve">12-15</t>
  </si>
  <si>
    <t xml:space="preserve">4-6</t>
  </si>
  <si>
    <t xml:space="preserve">Técnico avanzado, audiencia más nicho. Mix prof/est equilibrado.</t>
  </si>
  <si>
    <t xml:space="preserve">A8 · A9</t>
  </si>
  <si>
    <t xml:space="preserve">12</t>
  </si>
  <si>
    <t xml:space="preserve">6</t>
  </si>
  <si>
    <t xml:space="preserve">CAD y cálculo del domo: sesgo académico, más estudiantes.</t>
  </si>
  <si>
    <t xml:space="preserve">A10–A13</t>
  </si>
  <si>
    <t xml:space="preserve">8</t>
  </si>
  <si>
    <t xml:space="preserve">Co-construcción manual: muchos estudiantes implicados (innovación interactiva).</t>
  </si>
  <si>
    <t xml:space="preserve">A14 · A15</t>
  </si>
  <si>
    <t xml:space="preserve">4</t>
  </si>
  <si>
    <t xml:space="preserve">Instalación técnica puntual (FV + telecom).</t>
  </si>
  <si>
    <t xml:space="preserve">A16 · A17</t>
  </si>
  <si>
    <t xml:space="preserve">5-6</t>
  </si>
  <si>
    <t xml:space="preserve">Sensores en parcela y vuelo dronístico. Mixto.</t>
  </si>
  <si>
    <t xml:space="preserve">A18–A22</t>
  </si>
  <si>
    <t xml:space="preserve">Profesionales del sector hortícola (target principal del RD).</t>
  </si>
  <si>
    <t xml:space="preserve">30</t>
  </si>
  <si>
    <t xml:space="preserve">10</t>
  </si>
  <si>
    <t xml:space="preserve">Jornada final divulgativa más amplia.</t>
  </si>
  <si>
    <t xml:space="preserve">Resumen del proyecto (asistencias acumuladas)</t>
  </si>
  <si>
    <t xml:space="preserve">Total asistencias profesionales</t>
  </si>
  <si>
    <t xml:space="preserve">~384 asistencias-edición de profesionales del sector</t>
  </si>
  <si>
    <t xml:space="preserve">Total asistencias estudiantes</t>
  </si>
  <si>
    <t xml:space="preserve">~145 asistencias-edición de estudiantes UPM</t>
  </si>
  <si>
    <t xml:space="preserve">Total asistencias</t>
  </si>
  <si>
    <t xml:space="preserve">~529 asistencias-edición totales</t>
  </si>
  <si>
    <t xml:space="preserve">Ratio profesionales</t>
  </si>
  <si>
    <t xml:space="preserve">Objetivo ≥ 70 % para defender ante evaluador (target del sector)</t>
  </si>
  <si>
    <t xml:space="preserve">Participantes únicos estimados</t>
  </si>
  <si>
    <t xml:space="preserve">Estimación; se afina cuando se cierre el plan de captación</t>
  </si>
  <si>
    <t xml:space="preserve">Por edición · Guía del Solicitante FEGA</t>
  </si>
  <si>
    <t xml:space="preserve">PERSONAL — A.1 · A.2 · A.3 · A.4 · A.5</t>
  </si>
  <si>
    <t xml:space="preserve">Inputs en azul. Tarifas €/h se toman de PARAMETROS (GP1 = ingenieros · GP5 = oficiales). Las horas de estudiantes no generan coste (no remunerados).</t>
  </si>
  <si>
    <t xml:space="preserve">A.4 · PERSONAL DE APOYO PROPIO (acondicionamiento Living Lab) — GP1 y GP5 según tabla de salarios (PARAMETROS)</t>
  </si>
  <si>
    <t xml:space="preserve">h GP1 UPM</t>
  </si>
  <si>
    <t xml:space="preserve">h GP1 COPR</t>
  </si>
  <si>
    <t xml:space="preserve">h GP5 UPM</t>
  </si>
  <si>
    <t xml:space="preserve">h GP5 COPR</t>
  </si>
  <si>
    <t xml:space="preserve">h Estud. UPM</t>
  </si>
  <si>
    <t xml:space="preserve">h Estud. COPR</t>
  </si>
  <si>
    <t xml:space="preserve">Coste UPM</t>
  </si>
  <si>
    <t xml:space="preserve">Coste COPR</t>
  </si>
  <si>
    <t xml:space="preserve">Coste total</t>
  </si>
  <si>
    <t xml:space="preserve">TOTAL A.4</t>
  </si>
  <si>
    <t xml:space="preserve">A.3 · PERSONAL DOCENTE PROPIO — GP1 (ponentes UPM/COPRODELI). h prep solo 1ª edición (ratio 1,5×).</t>
  </si>
  <si>
    <t xml:space="preserve">h doc UPM</t>
  </si>
  <si>
    <t xml:space="preserve">h doc COPR</t>
  </si>
  <si>
    <t xml:space="preserve">h prep UPM</t>
  </si>
  <si>
    <t xml:space="preserve">h prep COPR</t>
  </si>
  <si>
    <t xml:space="preserve">Total h UPM</t>
  </si>
  <si>
    <t xml:space="preserve">Total h COPR</t>
  </si>
  <si>
    <t xml:space="preserve">TOTAL A.3</t>
  </si>
  <si>
    <t xml:space="preserve">A.1 · PERSONAL DOCENTE EXTERNO (ponentes invitados) — 90 €/h IVA excl.</t>
  </si>
  <si>
    <t xml:space="preserve">h ext. UPM</t>
  </si>
  <si>
    <t xml:space="preserve">h ext. COPR</t>
  </si>
  <si>
    <t xml:space="preserve">Total h</t>
  </si>
  <si>
    <t xml:space="preserve">Ponente invitado NEB europeo (proyecto-hermano)</t>
  </si>
  <si>
    <t xml:space="preserve">Ponente externo cierre / evaluación AKIS</t>
  </si>
  <si>
    <t xml:space="preserve">TOTAL A.1</t>
  </si>
  <si>
    <t xml:space="preserve">A.2 · PERSONAL DE APOYO EXTERNO (carpinteros, instaladores subcontratados) — 90 €/h IVA excl.</t>
  </si>
  <si>
    <t xml:space="preserve">Carpintero externo · precorte madera domo</t>
  </si>
  <si>
    <t xml:space="preserve">Albañil externo · preinstalación 16 anclajes</t>
  </si>
  <si>
    <t xml:space="preserve">Carpintero externo · prefijación cubierta</t>
  </si>
  <si>
    <t xml:space="preserve">Instalador eléctrico · pre-cableado FV</t>
  </si>
  <si>
    <t xml:space="preserve">TOTAL A.2</t>
  </si>
  <si>
    <t xml:space="preserve">A.5 · PERSONAL DE COORDINACIÓN PROPIO (UPM + COPRODELI) — desglosado por fase. Tope 20 % sobre directos.</t>
  </si>
  <si>
    <t xml:space="preserve">Persona</t>
  </si>
  <si>
    <t xml:space="preserve">Entidad</t>
  </si>
  <si>
    <t xml:space="preserve">h/mes</t>
  </si>
  <si>
    <t xml:space="preserve">Meses</t>
  </si>
  <si>
    <t xml:space="preserve">Coste</t>
  </si>
  <si>
    <t xml:space="preserve">Coordinadora UPM — P1</t>
  </si>
  <si>
    <t xml:space="preserve">UPM</t>
  </si>
  <si>
    <t xml:space="preserve">Coordinadora UPM — P2</t>
  </si>
  <si>
    <t xml:space="preserve">Coordinadora COPRODELI — P1</t>
  </si>
  <si>
    <t xml:space="preserve">COPRODELI</t>
  </si>
  <si>
    <t xml:space="preserve">Coordinadora COPRODELI — P2</t>
  </si>
  <si>
    <t xml:space="preserve">TOTAL A.5</t>
  </si>
  <si>
    <t xml:space="preserve">VIAJES — B.1 · Transporte + alojamiento + manutención (RD 462/2002 grupo 2)</t>
  </si>
  <si>
    <t xml:space="preserve">Una fila por edición. Tutores UPM viajan desde Madrid; tutores COPRODELI son LOCALES (solo manutención). "Periodo" en azul: input editable (default según ventana). Tope global B.1 = 40 % directos.</t>
  </si>
  <si>
    <t xml:space="preserve">Asist. prof</t>
  </si>
  <si>
    <t xml:space="preserve">Asist. estud</t>
  </si>
  <si>
    <t xml:space="preserve">Tutor UPM</t>
  </si>
  <si>
    <t xml:space="preserve">Tutor COPR</t>
  </si>
  <si>
    <t xml:space="preserve">Total comen</t>
  </si>
  <si>
    <t xml:space="preserve">Total bus+aloj</t>
  </si>
  <si>
    <t xml:space="preserve">Pernoctas</t>
  </si>
  <si>
    <t xml:space="preserve">Manutención €</t>
  </si>
  <si>
    <t xml:space="preserve">Alojamiento €</t>
  </si>
  <si>
    <t xml:space="preserve">Transporte €</t>
  </si>
  <si>
    <t xml:space="preserve">Total €</t>
  </si>
  <si>
    <t xml:space="preserve">UPM %</t>
  </si>
  <si>
    <t xml:space="preserve">UPM €</t>
  </si>
  <si>
    <t xml:space="preserve">COPR €</t>
  </si>
  <si>
    <t xml:space="preserve">TOTAL B.1</t>
  </si>
  <si>
    <t xml:space="preserve">Subtotal P1</t>
  </si>
  <si>
    <t xml:space="preserve">Subtotal P2</t>
  </si>
  <si>
    <t xml:space="preserve">MATERIALES — B.2 · B.3 · B.4 · B.5 · B.6 · B.7</t>
  </si>
  <si>
    <t xml:space="preserve">Cada concepto con su Periodo (input azul). Las partidas que cubren el proyecto entero se desdoblan en filas P1 y P2.</t>
  </si>
  <si>
    <t xml:space="preserve">Partida</t>
  </si>
  <si>
    <t xml:space="preserve">Cantidad</t>
  </si>
  <si>
    <t xml:space="preserve">€ unit.</t>
  </si>
  <si>
    <t xml:space="preserve">Tope</t>
  </si>
  <si>
    <t xml:space="preserve">% tope</t>
  </si>
  <si>
    <t xml:space="preserve">B.2</t>
  </si>
  <si>
    <t xml:space="preserve">Entornos virtuales — plataforma online (LMS, casos, recursos)</t>
  </si>
  <si>
    <t xml:space="preserve">B.3</t>
  </si>
  <si>
    <t xml:space="preserve">Material fungible P1 — cuadernos, USB, dossier (24 part. × 35 €)</t>
  </si>
  <si>
    <t xml:space="preserve">Material fungible P2 — cuadernos, USB, dossier (36 part. × 35 €)</t>
  </si>
  <si>
    <t xml:space="preserve">B.4</t>
  </si>
  <si>
    <t xml:space="preserve">Seguros P1 — RC actividades demostrativas</t>
  </si>
  <si>
    <t xml:space="preserve">Seguros P2 — RC actividades demostrativas</t>
  </si>
  <si>
    <t xml:space="preserve">B.5</t>
  </si>
  <si>
    <t xml:space="preserve">Auditoría — auditor externo (1 % subvención, máx. 5.000 €)</t>
  </si>
  <si>
    <t xml:space="preserve">B.6</t>
  </si>
  <si>
    <t xml:space="preserve">Alquileres P1 — equipos formación, salas</t>
  </si>
  <si>
    <t xml:space="preserve">Alquileres P2 — andamios domo, herramientas puntuales</t>
  </si>
  <si>
    <t xml:space="preserve">B.7</t>
  </si>
  <si>
    <t xml:space="preserve">Comunicación P1 — web, RRSS, podcast, vídeo arranque</t>
  </si>
  <si>
    <t xml:space="preserve">Comunicación P2 — roll-ups, dossier final, jornada cierre</t>
  </si>
  <si>
    <t xml:space="preserve">TOTAL B (sin B.1)</t>
  </si>
  <si>
    <t xml:space="preserve">INVERSIONES — C.1 (amortización) · C.2 (otras inversiones)</t>
  </si>
  <si>
    <t xml:space="preserve">C.1 · BIENES INVENTARIABLES — amortización separada por meses de cada periodo (P1=7m · P2=10m)</t>
  </si>
  <si>
    <t xml:space="preserve">Descripción</t>
  </si>
  <si>
    <t xml:space="preserve">Coste compra</t>
  </si>
  <si>
    <t xml:space="preserve">Vida útil (m)</t>
  </si>
  <si>
    <t xml:space="preserve">Cuota P1 (7 m)</t>
  </si>
  <si>
    <t xml:space="preserve">Cuota P2 (10 m)</t>
  </si>
  <si>
    <t xml:space="preserve">Cuota total</t>
  </si>
  <si>
    <t xml:space="preserve">Dron multispectral</t>
  </si>
  <si>
    <t xml:space="preserve">DJI Mavic 3M + cámara multiespectral</t>
  </si>
  <si>
    <t xml:space="preserve">Activo UPM (drones GeoSo2)</t>
  </si>
  <si>
    <t xml:space="preserve">Sensores IoT</t>
  </si>
  <si>
    <t xml:space="preserve">Lote 20 sensores LoRa humedad/meteo</t>
  </si>
  <si>
    <t xml:space="preserve">Quedan en parcela; activos UPM</t>
  </si>
  <si>
    <t xml:space="preserve">Software de cálculo de estructuras</t>
  </si>
  <si>
    <t xml:space="preserve">Licencia anual de software estructural (cálculo del domo geodésico)</t>
  </si>
  <si>
    <t xml:space="preserve">Licencia anual prorrateada al periodo</t>
  </si>
  <si>
    <t xml:space="preserve">Servidor/gateway IoT</t>
  </si>
  <si>
    <t xml:space="preserve">Gateway LoRa + servidor backend</t>
  </si>
  <si>
    <t xml:space="preserve">Activo UPM</t>
  </si>
  <si>
    <t xml:space="preserve">TOTAL C.1</t>
  </si>
  <si>
    <t xml:space="preserve">C.2 · OTRAS INVERSIONES — cada ítem con su Periodo (P1/P2)</t>
  </si>
  <si>
    <t xml:space="preserve">Vinculación a Ai</t>
  </si>
  <si>
    <t xml:space="preserve">Cimentación domo</t>
  </si>
  <si>
    <t xml:space="preserve">Zapatas, hormigón armado, replanteo del polígono geodésico</t>
  </si>
  <si>
    <t xml:space="preserve">A10–A11</t>
  </si>
  <si>
    <t xml:space="preserve">Estructura del domo</t>
  </si>
  <si>
    <t xml:space="preserve">Madera precortada + anclajes + herrajes metálicos</t>
  </si>
  <si>
    <t xml:space="preserve">Cubierta y suelos del domo</t>
  </si>
  <si>
    <t xml:space="preserve">Cubierta exterior + acabado interior del suelo</t>
  </si>
  <si>
    <t xml:space="preserve">Aislamiento del domo (hidrófugo + térmico)</t>
  </si>
  <si>
    <t xml:space="preserve">Corcho aglomerado + impermeabilización exterior</t>
  </si>
  <si>
    <t xml:space="preserve">Ventanas del domo</t>
  </si>
  <si>
    <t xml:space="preserve">Ventanas + ventilación pasiva</t>
  </si>
  <si>
    <t xml:space="preserve">A12–A13</t>
  </si>
  <si>
    <t xml:space="preserve">Cableado y sistema solar</t>
  </si>
  <si>
    <t xml:space="preserve">Pre-cableado eléctrico + paneles FV + inversor + baterías</t>
  </si>
  <si>
    <t xml:space="preserve">Conectividad satelital</t>
  </si>
  <si>
    <t xml:space="preserve">Starlink + soporte + cuotas 17 m</t>
  </si>
  <si>
    <t xml:space="preserve">Semillas y sustratos</t>
  </si>
  <si>
    <t xml:space="preserve">Plantel y abonos 2 ciclos</t>
  </si>
  <si>
    <t xml:space="preserve">F8 ciclo</t>
  </si>
  <si>
    <t xml:space="preserve">Sensórica y comunicaciones de riego</t>
  </si>
  <si>
    <t xml:space="preserve">Sensores humedad de suelo + módulo LoRa específico riego</t>
  </si>
  <si>
    <t xml:space="preserve">A5/A6</t>
  </si>
  <si>
    <t xml:space="preserve">Material de riego</t>
  </si>
  <si>
    <t xml:space="preserve">Electroválvulas, tuberías, goteros, filtros</t>
  </si>
  <si>
    <t xml:space="preserve">TOTAL C.2</t>
  </si>
  <si>
    <t xml:space="preserve">PRESUPUESTO — desglose por fase y por actividad</t>
  </si>
  <si>
    <t xml:space="preserve">Cada actividad se imputa a P1 o P2 según el periodo de su PRIMERA edición. Los costes transversales (A.5, B.x, C.x, indirectos) se asignan explícitamente a cada fase. SIN porcentajes arbitrarios.</t>
  </si>
  <si>
    <t xml:space="preserve">FASE 1 (P1) — Costes por actividad y transversales</t>
  </si>
  <si>
    <t xml:space="preserve">A.1</t>
  </si>
  <si>
    <t xml:space="preserve">A.2</t>
  </si>
  <si>
    <t xml:space="preserve">A.3</t>
  </si>
  <si>
    <t xml:space="preserve">A.4</t>
  </si>
  <si>
    <t xml:space="preserve">Subtotal personal Ai</t>
  </si>
  <si>
    <t xml:space="preserve">Subtotal personal por actividad</t>
  </si>
  <si>
    <t xml:space="preserve">COSTES TRANSVERSALES P1</t>
  </si>
  <si>
    <t xml:space="preserve">Total</t>
  </si>
  <si>
    <t xml:space="preserve">— </t>
  </si>
  <si>
    <t xml:space="preserve">A.5 Coordinación</t>
  </si>
  <si>
    <t xml:space="preserve">B.1 Viajes y dietas</t>
  </si>
  <si>
    <t xml:space="preserve">B.2 Entornos virtuales</t>
  </si>
  <si>
    <t xml:space="preserve">B.3 Material fungible</t>
  </si>
  <si>
    <t xml:space="preserve">B.4 Seguros</t>
  </si>
  <si>
    <t xml:space="preserve">B.5 Auditoría</t>
  </si>
  <si>
    <t xml:space="preserve">B.6 Alquileres</t>
  </si>
  <si>
    <t xml:space="preserve">B.7 Comunicación</t>
  </si>
  <si>
    <t xml:space="preserve">C.1 Bienes inventariables (cuota)</t>
  </si>
  <si>
    <t xml:space="preserve">C.2 Otras inversiones</t>
  </si>
  <si>
    <t xml:space="preserve">Costes indirectos (15 % personal directo de la fase)</t>
  </si>
  <si>
    <t xml:space="preserve">Subtotal transversales</t>
  </si>
  <si>
    <t xml:space="preserve">TOTAL P1</t>
  </si>
  <si>
    <t xml:space="preserve">FASE 2 (P2) — Costes por actividad y transversales</t>
  </si>
  <si>
    <t xml:space="preserve">COSTES TRANSVERSALES P2</t>
  </si>
  <si>
    <t xml:space="preserve">TOTAL P2</t>
  </si>
  <si>
    <t xml:space="preserve">TOTAL GENERAL (P1 + P2)</t>
  </si>
  <si>
    <t xml:space="preserve">Costes directos totales (sin indirectos)</t>
  </si>
  <si>
    <t xml:space="preserve">CONTROL DE TOPES</t>
  </si>
  <si>
    <t xml:space="preserve">%</t>
  </si>
  <si>
    <t xml:space="preserve">Estado</t>
  </si>
  <si>
    <t xml:space="preserve">A.5 / directos ≤ 20 %</t>
  </si>
  <si>
    <t xml:space="preserve">B.1 / directos ≤ 40 %</t>
  </si>
  <si>
    <t xml:space="preserve">(C.1+C.2) / directos ≤ 50 %</t>
  </si>
  <si>
    <t xml:space="preserve">B.2 ≤ 5.000 €</t>
  </si>
  <si>
    <t xml:space="preserve">B.4 ≤ 1.000 €</t>
  </si>
  <si>
    <t xml:space="preserve">B.7 ≤ 1.500 €</t>
  </si>
  <si>
    <t xml:space="preserve">Total ≤ 500.000 €</t>
  </si>
  <si>
    <t xml:space="preserve">Total ≥ 70.000 €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</si>
</sst>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%"/>
    <numFmt numFmtId="167" formatCode="#,##0"/>
    <numFmt numFmtId="168" formatCode="#,##0.00&quot; €&quot;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305496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1F2"/>
      </patternFill>
    </fill>
    <fill>
      <patternFill patternType="solid">
        <fgColor rgb="FFF4B084"/>
        <bgColor rgb="FFFF99CC"/>
      </patternFill>
    </fill>
    <fill>
      <patternFill patternType="solid">
        <fgColor rgb="FF8EA9DB"/>
        <bgColor rgb="FF999999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4B084"/>
        </patternFill>
      </fill>
    </dxf>
    <dxf>
      <fill>
        <patternFill>
          <bgColor rgb="FFFFFF00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1F4E78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20"/>
  </cols>
  <sheetData>
    <row r="2" customFormat="false" ht="31.5" hidden="false" customHeight="true" outlineLevel="0" collapsed="false">
      <c r="B2" s="1" t="s">
        <v>0</v>
      </c>
      <c r="C2" s="1"/>
      <c r="D2" s="1"/>
    </row>
    <row r="3" customFormat="false" ht="15" hidden="false" customHeight="false" outlineLevel="0" collapsed="false">
      <c r="B3" s="2" t="s">
        <v>1</v>
      </c>
      <c r="C3" s="2"/>
      <c r="D3" s="2"/>
    </row>
    <row r="5" customFormat="false" ht="15" hidden="false" customHeight="false" outlineLevel="0" collapsed="false">
      <c r="B5" s="3" t="s">
        <v>2</v>
      </c>
      <c r="C5" s="0" t="s">
        <v>3</v>
      </c>
    </row>
    <row r="6" customFormat="false" ht="15" hidden="false" customHeight="false" outlineLevel="0" collapsed="false">
      <c r="B6" s="3" t="s">
        <v>4</v>
      </c>
      <c r="C6" s="0" t="s">
        <v>5</v>
      </c>
    </row>
    <row r="7" customFormat="false" ht="15" hidden="false" customHeight="false" outlineLevel="0" collapsed="false">
      <c r="B7" s="3" t="s">
        <v>6</v>
      </c>
      <c r="C7" s="0" t="s">
        <v>7</v>
      </c>
    </row>
    <row r="9" customFormat="false" ht="15" hidden="false" customHeight="true" outlineLevel="0" collapsed="false">
      <c r="B9" s="4" t="s">
        <v>8</v>
      </c>
      <c r="C9" s="4"/>
      <c r="D9" s="4"/>
    </row>
    <row r="10" customFormat="false" ht="15" hidden="false" customHeight="false" outlineLevel="0" collapsed="false">
      <c r="B10" s="3" t="s">
        <v>9</v>
      </c>
      <c r="C10" s="5" t="s">
        <v>10</v>
      </c>
    </row>
    <row r="11" customFormat="false" ht="15" hidden="false" customHeight="false" outlineLevel="0" collapsed="false">
      <c r="B11" s="3" t="s">
        <v>11</v>
      </c>
      <c r="C11" s="6" t="s">
        <v>12</v>
      </c>
    </row>
    <row r="12" customFormat="false" ht="15" hidden="false" customHeight="false" outlineLevel="0" collapsed="false">
      <c r="B12" s="3" t="s">
        <v>13</v>
      </c>
      <c r="C12" s="7" t="s">
        <v>14</v>
      </c>
    </row>
    <row r="13" customFormat="false" ht="15" hidden="false" customHeight="false" outlineLevel="0" collapsed="false">
      <c r="B13" s="3" t="s">
        <v>15</v>
      </c>
      <c r="C13" s="8" t="s">
        <v>16</v>
      </c>
    </row>
    <row r="14" customFormat="false" ht="15" hidden="false" customHeight="false" outlineLevel="0" collapsed="false">
      <c r="B14" s="3" t="s">
        <v>17</v>
      </c>
      <c r="C14" s="9" t="s">
        <v>18</v>
      </c>
    </row>
    <row r="15" customFormat="false" ht="15" hidden="false" customHeight="false" outlineLevel="0" collapsed="false">
      <c r="B15" s="3" t="s">
        <v>19</v>
      </c>
      <c r="C15" s="10" t="s">
        <v>20</v>
      </c>
    </row>
    <row r="18" customFormat="false" ht="15" hidden="false" customHeight="true" outlineLevel="0" collapsed="false">
      <c r="B18" s="4" t="s">
        <v>21</v>
      </c>
      <c r="C18" s="4"/>
      <c r="D18" s="4"/>
    </row>
    <row r="19" customFormat="false" ht="15" hidden="false" customHeight="false" outlineLevel="0" collapsed="false">
      <c r="B19" s="3" t="s">
        <v>22</v>
      </c>
      <c r="C19" s="0" t="s">
        <v>23</v>
      </c>
    </row>
    <row r="20" customFormat="false" ht="15" hidden="false" customHeight="false" outlineLevel="0" collapsed="false">
      <c r="B20" s="3" t="s">
        <v>24</v>
      </c>
      <c r="C20" s="0" t="s">
        <v>25</v>
      </c>
    </row>
    <row r="21" customFormat="false" ht="15" hidden="false" customHeight="false" outlineLevel="0" collapsed="false">
      <c r="B21" s="3" t="s">
        <v>26</v>
      </c>
      <c r="C21" s="0" t="s">
        <v>27</v>
      </c>
    </row>
    <row r="22" customFormat="false" ht="15" hidden="false" customHeight="false" outlineLevel="0" collapsed="false">
      <c r="B22" s="3" t="s">
        <v>28</v>
      </c>
      <c r="C22" s="0" t="s">
        <v>29</v>
      </c>
    </row>
    <row r="23" customFormat="false" ht="15" hidden="false" customHeight="false" outlineLevel="0" collapsed="false">
      <c r="B23" s="3" t="s">
        <v>30</v>
      </c>
      <c r="C23" s="0" t="s">
        <v>31</v>
      </c>
    </row>
    <row r="24" customFormat="false" ht="15" hidden="false" customHeight="false" outlineLevel="0" collapsed="false">
      <c r="B24" s="3" t="s">
        <v>32</v>
      </c>
      <c r="C24" s="0" t="s">
        <v>33</v>
      </c>
    </row>
    <row r="25" customFormat="false" ht="15" hidden="false" customHeight="false" outlineLevel="0" collapsed="false">
      <c r="B25" s="3" t="s">
        <v>34</v>
      </c>
      <c r="C25" s="0" t="s">
        <v>35</v>
      </c>
    </row>
    <row r="26" customFormat="false" ht="15" hidden="false" customHeight="false" outlineLevel="0" collapsed="false">
      <c r="B26" s="3" t="s">
        <v>36</v>
      </c>
      <c r="C26" s="0" t="s">
        <v>37</v>
      </c>
    </row>
    <row r="30" customFormat="false" ht="15" hidden="false" customHeight="true" outlineLevel="0" collapsed="false">
      <c r="B30" s="4" t="s">
        <v>38</v>
      </c>
      <c r="C30" s="4"/>
      <c r="D30" s="4"/>
    </row>
    <row r="31" customFormat="false" ht="15" hidden="false" customHeight="true" outlineLevel="0" collapsed="false">
      <c r="B31" s="11" t="s">
        <v>39</v>
      </c>
      <c r="C31" s="11"/>
      <c r="D31" s="11"/>
    </row>
    <row r="32" customFormat="false" ht="15" hidden="false" customHeight="true" outlineLevel="0" collapsed="false">
      <c r="B32" s="11" t="s">
        <v>40</v>
      </c>
      <c r="C32" s="11"/>
      <c r="D32" s="11"/>
    </row>
    <row r="33" customFormat="false" ht="15" hidden="false" customHeight="true" outlineLevel="0" collapsed="false">
      <c r="B33" s="11" t="s">
        <v>41</v>
      </c>
      <c r="C33" s="11"/>
      <c r="D33" s="11"/>
    </row>
    <row r="34" customFormat="false" ht="15" hidden="false" customHeight="true" outlineLevel="0" collapsed="false">
      <c r="B34" s="11" t="s">
        <v>42</v>
      </c>
      <c r="C34" s="11"/>
      <c r="D34" s="11"/>
    </row>
    <row r="35" customFormat="false" ht="15" hidden="false" customHeight="true" outlineLevel="0" collapsed="false">
      <c r="B35" s="11" t="s">
        <v>43</v>
      </c>
      <c r="C35" s="11"/>
      <c r="D35" s="11"/>
    </row>
    <row r="36" customFormat="false" ht="15" hidden="false" customHeight="true" outlineLevel="0" collapsed="false">
      <c r="B36" s="11" t="s">
        <v>44</v>
      </c>
      <c r="C36" s="11"/>
      <c r="D36" s="11"/>
    </row>
  </sheetData>
  <mergeCells count="11">
    <mergeCell ref="B2:D2"/>
    <mergeCell ref="B3:D3"/>
    <mergeCell ref="B9:D9"/>
    <mergeCell ref="B18:D18"/>
    <mergeCell ref="B30:D30"/>
    <mergeCell ref="B31:D31"/>
    <mergeCell ref="B32:D32"/>
    <mergeCell ref="B33:D33"/>
    <mergeCell ref="B34:D34"/>
    <mergeCell ref="B35:D35"/>
    <mergeCell ref="B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6" min="6" style="0" width="50"/>
  </cols>
  <sheetData>
    <row r="2" customFormat="false" ht="27.75" hidden="false" customHeight="true" outlineLevel="0" collapsed="false">
      <c r="B2" s="1" t="s">
        <v>45</v>
      </c>
      <c r="C2" s="1"/>
      <c r="D2" s="1"/>
      <c r="E2" s="1"/>
      <c r="F2" s="1"/>
    </row>
    <row r="3" customFormat="false" ht="15" hidden="false" customHeight="false" outlineLevel="0" collapsed="false">
      <c r="B3" s="2" t="s">
        <v>46</v>
      </c>
      <c r="C3" s="2"/>
      <c r="D3" s="2"/>
      <c r="E3" s="2"/>
      <c r="F3" s="2"/>
    </row>
    <row r="5" customFormat="false" ht="15" hidden="false" customHeight="true" outlineLevel="0" collapsed="false">
      <c r="B5" s="4" t="s">
        <v>47</v>
      </c>
      <c r="C5" s="4"/>
      <c r="D5" s="4"/>
      <c r="E5" s="4"/>
      <c r="F5" s="4"/>
    </row>
    <row r="6" customFormat="false" ht="15" hidden="false" customHeight="false" outlineLevel="0" collapsed="false">
      <c r="B6" s="12" t="s">
        <v>48</v>
      </c>
      <c r="C6" s="12" t="s">
        <v>49</v>
      </c>
      <c r="D6" s="12" t="s">
        <v>50</v>
      </c>
      <c r="E6" s="12" t="s">
        <v>51</v>
      </c>
      <c r="F6" s="12" t="s">
        <v>52</v>
      </c>
    </row>
    <row r="7" customFormat="false" ht="15" hidden="false" customHeight="false" outlineLevel="0" collapsed="false">
      <c r="B7" s="0" t="s">
        <v>53</v>
      </c>
      <c r="C7" s="13" t="n">
        <v>27.98</v>
      </c>
      <c r="D7" s="14" t="s">
        <v>54</v>
      </c>
      <c r="E7" s="14" t="s">
        <v>55</v>
      </c>
      <c r="F7" s="15" t="s">
        <v>56</v>
      </c>
    </row>
    <row r="8" customFormat="false" ht="15" hidden="false" customHeight="false" outlineLevel="0" collapsed="false">
      <c r="B8" s="0" t="s">
        <v>57</v>
      </c>
      <c r="C8" s="13" t="n">
        <v>19.62</v>
      </c>
      <c r="D8" s="14" t="s">
        <v>54</v>
      </c>
      <c r="E8" s="14" t="s">
        <v>58</v>
      </c>
      <c r="F8" s="15"/>
    </row>
    <row r="9" customFormat="false" ht="15" hidden="false" customHeight="false" outlineLevel="0" collapsed="false">
      <c r="B9" s="0" t="s">
        <v>59</v>
      </c>
      <c r="C9" s="13" t="n">
        <v>16</v>
      </c>
      <c r="D9" s="14" t="s">
        <v>54</v>
      </c>
      <c r="E9" s="14" t="s">
        <v>60</v>
      </c>
      <c r="F9" s="15"/>
    </row>
    <row r="10" customFormat="false" ht="15" hidden="false" customHeight="false" outlineLevel="0" collapsed="false">
      <c r="B10" s="0" t="s">
        <v>61</v>
      </c>
      <c r="C10" s="13" t="n">
        <v>15.73</v>
      </c>
      <c r="D10" s="14" t="s">
        <v>54</v>
      </c>
      <c r="E10" s="14" t="s">
        <v>62</v>
      </c>
      <c r="F10" s="15"/>
    </row>
    <row r="11" customFormat="false" ht="15" hidden="false" customHeight="false" outlineLevel="0" collapsed="false">
      <c r="B11" s="0" t="s">
        <v>63</v>
      </c>
      <c r="C11" s="13" t="n">
        <v>12.47</v>
      </c>
      <c r="D11" s="14" t="s">
        <v>54</v>
      </c>
      <c r="E11" s="14" t="s">
        <v>64</v>
      </c>
      <c r="F11" s="15" t="s">
        <v>65</v>
      </c>
    </row>
    <row r="12" customFormat="false" ht="15" hidden="false" customHeight="false" outlineLevel="0" collapsed="false">
      <c r="B12" s="0" t="s">
        <v>66</v>
      </c>
      <c r="C12" s="13" t="n">
        <v>22.21</v>
      </c>
      <c r="D12" s="14" t="s">
        <v>54</v>
      </c>
      <c r="E12" s="14" t="s">
        <v>67</v>
      </c>
      <c r="F12" s="15"/>
    </row>
    <row r="13" customFormat="false" ht="15" hidden="false" customHeight="false" outlineLevel="0" collapsed="false">
      <c r="B13" s="0" t="s">
        <v>68</v>
      </c>
      <c r="C13" s="13" t="n">
        <v>9.51</v>
      </c>
      <c r="D13" s="14" t="s">
        <v>54</v>
      </c>
      <c r="E13" s="14" t="s">
        <v>69</v>
      </c>
      <c r="F13" s="15"/>
    </row>
    <row r="14" customFormat="false" ht="15" hidden="false" customHeight="false" outlineLevel="0" collapsed="false">
      <c r="B14" s="0" t="s">
        <v>70</v>
      </c>
      <c r="C14" s="13" t="n">
        <v>90</v>
      </c>
      <c r="D14" s="14" t="s">
        <v>54</v>
      </c>
      <c r="E14" s="14" t="s">
        <v>71</v>
      </c>
      <c r="F14" s="15" t="s">
        <v>72</v>
      </c>
    </row>
    <row r="15" customFormat="false" ht="15" hidden="false" customHeight="false" outlineLevel="0" collapsed="false">
      <c r="B15" s="0" t="s">
        <v>73</v>
      </c>
      <c r="C15" s="13" t="n">
        <v>1720</v>
      </c>
      <c r="D15" s="14" t="s">
        <v>74</v>
      </c>
      <c r="E15" s="14" t="s">
        <v>75</v>
      </c>
      <c r="F15" s="15" t="s">
        <v>76</v>
      </c>
    </row>
    <row r="16" customFormat="false" ht="15" hidden="false" customHeight="false" outlineLevel="0" collapsed="false">
      <c r="B16" s="0" t="s">
        <v>77</v>
      </c>
      <c r="C16" s="13" t="n">
        <v>1.5</v>
      </c>
      <c r="D16" s="14" t="s">
        <v>78</v>
      </c>
      <c r="E16" s="14" t="s">
        <v>79</v>
      </c>
      <c r="F16" s="15" t="s">
        <v>80</v>
      </c>
    </row>
    <row r="19" customFormat="false" ht="15" hidden="false" customHeight="true" outlineLevel="0" collapsed="false">
      <c r="B19" s="4" t="s">
        <v>81</v>
      </c>
      <c r="C19" s="4"/>
      <c r="D19" s="4"/>
      <c r="E19" s="4"/>
      <c r="F19" s="4"/>
    </row>
    <row r="20" customFormat="false" ht="15" hidden="false" customHeight="false" outlineLevel="0" collapsed="false">
      <c r="B20" s="12" t="s">
        <v>48</v>
      </c>
      <c r="C20" s="12" t="s">
        <v>49</v>
      </c>
      <c r="D20" s="12" t="s">
        <v>50</v>
      </c>
      <c r="E20" s="12" t="s">
        <v>51</v>
      </c>
      <c r="F20" s="12" t="s">
        <v>52</v>
      </c>
    </row>
    <row r="21" customFormat="false" ht="15" hidden="false" customHeight="false" outlineLevel="0" collapsed="false">
      <c r="B21" s="0" t="s">
        <v>82</v>
      </c>
      <c r="C21" s="13" t="n">
        <v>65.97</v>
      </c>
      <c r="D21" s="0" t="s">
        <v>83</v>
      </c>
      <c r="E21" s="14" t="s">
        <v>84</v>
      </c>
      <c r="F21" s="15" t="s">
        <v>85</v>
      </c>
    </row>
    <row r="22" customFormat="false" ht="15" hidden="false" customHeight="false" outlineLevel="0" collapsed="false">
      <c r="B22" s="0" t="s">
        <v>86</v>
      </c>
      <c r="C22" s="13" t="n">
        <v>37.4</v>
      </c>
      <c r="D22" s="0" t="s">
        <v>87</v>
      </c>
      <c r="E22" s="14" t="s">
        <v>88</v>
      </c>
      <c r="F22" s="15"/>
    </row>
    <row r="23" customFormat="false" ht="15" hidden="false" customHeight="false" outlineLevel="0" collapsed="false">
      <c r="B23" s="0" t="s">
        <v>89</v>
      </c>
      <c r="C23" s="13" t="n">
        <v>18.7</v>
      </c>
      <c r="D23" s="0" t="s">
        <v>90</v>
      </c>
      <c r="E23" s="14" t="s">
        <v>91</v>
      </c>
      <c r="F23" s="15" t="s">
        <v>92</v>
      </c>
    </row>
    <row r="24" customFormat="false" ht="15" hidden="false" customHeight="false" outlineLevel="0" collapsed="false">
      <c r="B24" s="0" t="s">
        <v>93</v>
      </c>
      <c r="C24" s="13" t="n">
        <v>0.26</v>
      </c>
      <c r="D24" s="0" t="s">
        <v>94</v>
      </c>
      <c r="E24" s="14" t="s">
        <v>95</v>
      </c>
      <c r="F24" s="15"/>
    </row>
    <row r="25" customFormat="false" ht="15" hidden="false" customHeight="false" outlineLevel="0" collapsed="false">
      <c r="B25" s="0" t="s">
        <v>96</v>
      </c>
      <c r="C25" s="13" t="n">
        <v>0.106</v>
      </c>
      <c r="D25" s="0" t="s">
        <v>94</v>
      </c>
      <c r="E25" s="14" t="s">
        <v>97</v>
      </c>
      <c r="F25" s="15"/>
    </row>
    <row r="28" customFormat="false" ht="15" hidden="false" customHeight="true" outlineLevel="0" collapsed="false">
      <c r="B28" s="4" t="s">
        <v>98</v>
      </c>
      <c r="C28" s="4"/>
      <c r="D28" s="4"/>
      <c r="E28" s="4"/>
      <c r="F28" s="4"/>
    </row>
    <row r="29" customFormat="false" ht="15" hidden="false" customHeight="false" outlineLevel="0" collapsed="false">
      <c r="B29" s="12" t="s">
        <v>48</v>
      </c>
      <c r="C29" s="12" t="s">
        <v>49</v>
      </c>
      <c r="D29" s="12" t="s">
        <v>50</v>
      </c>
      <c r="E29" s="12" t="s">
        <v>51</v>
      </c>
      <c r="F29" s="12" t="s">
        <v>52</v>
      </c>
    </row>
    <row r="30" customFormat="false" ht="15" hidden="false" customHeight="false" outlineLevel="0" collapsed="false">
      <c r="B30" s="0" t="s">
        <v>99</v>
      </c>
      <c r="C30" s="13" t="n">
        <v>500000</v>
      </c>
      <c r="D30" s="0" t="s">
        <v>100</v>
      </c>
      <c r="E30" s="14" t="s">
        <v>101</v>
      </c>
      <c r="F30" s="15" t="s">
        <v>102</v>
      </c>
    </row>
    <row r="31" customFormat="false" ht="15" hidden="false" customHeight="false" outlineLevel="0" collapsed="false">
      <c r="B31" s="0" t="s">
        <v>103</v>
      </c>
      <c r="C31" s="13" t="n">
        <v>70000</v>
      </c>
      <c r="D31" s="0" t="s">
        <v>100</v>
      </c>
      <c r="E31" s="14" t="s">
        <v>104</v>
      </c>
      <c r="F31" s="15" t="s">
        <v>105</v>
      </c>
    </row>
    <row r="32" customFormat="false" ht="15" hidden="false" customHeight="false" outlineLevel="0" collapsed="false">
      <c r="B32" s="0" t="s">
        <v>106</v>
      </c>
      <c r="C32" s="16" t="n">
        <v>0.2</v>
      </c>
      <c r="D32" s="0" t="s">
        <v>78</v>
      </c>
      <c r="E32" s="14" t="s">
        <v>107</v>
      </c>
      <c r="F32" s="15" t="s">
        <v>108</v>
      </c>
    </row>
    <row r="33" customFormat="false" ht="15" hidden="false" customHeight="false" outlineLevel="0" collapsed="false">
      <c r="B33" s="0" t="s">
        <v>109</v>
      </c>
      <c r="C33" s="16" t="n">
        <v>0.4</v>
      </c>
      <c r="D33" s="0" t="s">
        <v>78</v>
      </c>
      <c r="E33" s="14" t="s">
        <v>110</v>
      </c>
      <c r="F33" s="15" t="s">
        <v>111</v>
      </c>
    </row>
    <row r="34" customFormat="false" ht="15" hidden="false" customHeight="false" outlineLevel="0" collapsed="false">
      <c r="B34" s="0" t="s">
        <v>112</v>
      </c>
      <c r="C34" s="16" t="n">
        <v>0.5</v>
      </c>
      <c r="D34" s="0" t="s">
        <v>78</v>
      </c>
      <c r="E34" s="14" t="s">
        <v>113</v>
      </c>
      <c r="F34" s="15" t="s">
        <v>114</v>
      </c>
    </row>
    <row r="35" customFormat="false" ht="15" hidden="false" customHeight="false" outlineLevel="0" collapsed="false">
      <c r="B35" s="0" t="s">
        <v>115</v>
      </c>
      <c r="C35" s="13" t="n">
        <v>40</v>
      </c>
      <c r="D35" s="0" t="s">
        <v>116</v>
      </c>
      <c r="E35" s="14" t="s">
        <v>117</v>
      </c>
      <c r="F35" s="15" t="s">
        <v>118</v>
      </c>
    </row>
    <row r="36" customFormat="false" ht="15" hidden="false" customHeight="false" outlineLevel="0" collapsed="false">
      <c r="B36" s="0" t="s">
        <v>119</v>
      </c>
      <c r="C36" s="13" t="n">
        <v>1500</v>
      </c>
      <c r="D36" s="0" t="s">
        <v>100</v>
      </c>
      <c r="E36" s="14" t="s">
        <v>120</v>
      </c>
      <c r="F36" s="15" t="s">
        <v>121</v>
      </c>
    </row>
    <row r="37" customFormat="false" ht="15" hidden="false" customHeight="false" outlineLevel="0" collapsed="false">
      <c r="B37" s="0" t="s">
        <v>122</v>
      </c>
      <c r="C37" s="13" t="n">
        <v>5000</v>
      </c>
      <c r="D37" s="0" t="s">
        <v>100</v>
      </c>
      <c r="E37" s="14" t="s">
        <v>123</v>
      </c>
      <c r="F37" s="15" t="s">
        <v>121</v>
      </c>
    </row>
    <row r="38" customFormat="false" ht="15" hidden="false" customHeight="false" outlineLevel="0" collapsed="false">
      <c r="B38" s="0" t="s">
        <v>124</v>
      </c>
      <c r="C38" s="13" t="n">
        <v>1000</v>
      </c>
      <c r="D38" s="0" t="s">
        <v>100</v>
      </c>
      <c r="E38" s="14" t="s">
        <v>125</v>
      </c>
      <c r="F38" s="15" t="s">
        <v>121</v>
      </c>
    </row>
    <row r="39" customFormat="false" ht="15" hidden="false" customHeight="false" outlineLevel="0" collapsed="false">
      <c r="B39" s="0" t="s">
        <v>126</v>
      </c>
      <c r="C39" s="13" t="n">
        <v>5000</v>
      </c>
      <c r="D39" s="0" t="s">
        <v>100</v>
      </c>
      <c r="E39" s="14" t="s">
        <v>127</v>
      </c>
      <c r="F39" s="15" t="s">
        <v>128</v>
      </c>
    </row>
    <row r="40" customFormat="false" ht="15" hidden="false" customHeight="false" outlineLevel="0" collapsed="false">
      <c r="B40" s="0" t="s">
        <v>129</v>
      </c>
      <c r="C40" s="16" t="n">
        <v>0.15</v>
      </c>
      <c r="D40" s="0" t="s">
        <v>78</v>
      </c>
      <c r="E40" s="14" t="s">
        <v>130</v>
      </c>
      <c r="F40" s="15" t="s">
        <v>131</v>
      </c>
    </row>
    <row r="41" customFormat="false" ht="15" hidden="false" customHeight="false" outlineLevel="0" collapsed="false">
      <c r="B41" s="0" t="s">
        <v>132</v>
      </c>
      <c r="C41" s="16" t="n">
        <v>1</v>
      </c>
      <c r="D41" s="0" t="s">
        <v>78</v>
      </c>
      <c r="E41" s="14" t="s">
        <v>133</v>
      </c>
      <c r="F41" s="15" t="s">
        <v>134</v>
      </c>
    </row>
    <row r="42" customFormat="false" ht="15" hidden="false" customHeight="false" outlineLevel="0" collapsed="false">
      <c r="B42" s="0" t="s">
        <v>135</v>
      </c>
      <c r="C42" s="16" t="n">
        <v>0.65</v>
      </c>
      <c r="D42" s="0" t="s">
        <v>78</v>
      </c>
      <c r="E42" s="14" t="s">
        <v>136</v>
      </c>
      <c r="F42" s="15"/>
    </row>
    <row r="43" customFormat="false" ht="15" hidden="false" customHeight="false" outlineLevel="0" collapsed="false">
      <c r="B43" s="0" t="s">
        <v>137</v>
      </c>
      <c r="C43" s="5" t="n">
        <v>1</v>
      </c>
      <c r="D43" s="0" t="s">
        <v>138</v>
      </c>
      <c r="E43" s="14" t="s">
        <v>139</v>
      </c>
      <c r="F43" s="15" t="s">
        <v>140</v>
      </c>
    </row>
    <row r="44" customFormat="false" ht="15" hidden="false" customHeight="false" outlineLevel="0" collapsed="false">
      <c r="B44" s="0" t="s">
        <v>141</v>
      </c>
      <c r="C44" s="16" t="n">
        <v>0.3</v>
      </c>
      <c r="D44" s="0" t="s">
        <v>78</v>
      </c>
      <c r="E44" s="14" t="s">
        <v>142</v>
      </c>
      <c r="F44" s="15" t="s">
        <v>143</v>
      </c>
    </row>
    <row r="45" customFormat="false" ht="15" hidden="false" customHeight="false" outlineLevel="0" collapsed="false">
      <c r="B45" s="0" t="s">
        <v>144</v>
      </c>
      <c r="C45" s="16" t="n">
        <v>0.7</v>
      </c>
      <c r="D45" s="0" t="s">
        <v>78</v>
      </c>
      <c r="E45" s="14" t="s">
        <v>145</v>
      </c>
      <c r="F45" s="15" t="s">
        <v>146</v>
      </c>
    </row>
    <row r="46" customFormat="false" ht="15" hidden="false" customHeight="false" outlineLevel="0" collapsed="false">
      <c r="B46" s="0" t="s">
        <v>147</v>
      </c>
      <c r="C46" s="13" t="n">
        <v>7</v>
      </c>
      <c r="D46" s="0" t="s">
        <v>148</v>
      </c>
      <c r="E46" s="14" t="s">
        <v>138</v>
      </c>
      <c r="F46" s="15" t="s">
        <v>149</v>
      </c>
    </row>
    <row r="47" customFormat="false" ht="15" hidden="false" customHeight="false" outlineLevel="0" collapsed="false">
      <c r="B47" s="0" t="s">
        <v>150</v>
      </c>
      <c r="C47" s="13" t="n">
        <v>10</v>
      </c>
      <c r="D47" s="0" t="s">
        <v>148</v>
      </c>
      <c r="E47" s="14" t="s">
        <v>138</v>
      </c>
      <c r="F47" s="15" t="s">
        <v>151</v>
      </c>
    </row>
    <row r="48" customFormat="false" ht="15" hidden="false" customHeight="false" outlineLevel="0" collapsed="false">
      <c r="B48" s="0" t="s">
        <v>152</v>
      </c>
      <c r="C48" s="17" t="n">
        <f aca="false">C46+C47</f>
        <v>17</v>
      </c>
      <c r="D48" s="0" t="s">
        <v>148</v>
      </c>
      <c r="E48" s="14" t="s">
        <v>138</v>
      </c>
      <c r="F48" s="15" t="s">
        <v>153</v>
      </c>
    </row>
    <row r="49" customFormat="false" ht="15" hidden="false" customHeight="true" outlineLevel="0" collapsed="false">
      <c r="B49" s="4" t="s">
        <v>154</v>
      </c>
      <c r="C49" s="4"/>
      <c r="D49" s="4"/>
      <c r="E49" s="4"/>
      <c r="F49" s="4"/>
    </row>
    <row r="50" customFormat="false" ht="15" hidden="false" customHeight="false" outlineLevel="0" collapsed="false">
      <c r="B50" s="12" t="s">
        <v>48</v>
      </c>
      <c r="C50" s="12" t="s">
        <v>49</v>
      </c>
      <c r="D50" s="12" t="s">
        <v>50</v>
      </c>
      <c r="E50" s="12" t="s">
        <v>155</v>
      </c>
      <c r="F50" s="12" t="s">
        <v>52</v>
      </c>
    </row>
    <row r="51" customFormat="false" ht="15" hidden="false" customHeight="false" outlineLevel="0" collapsed="false">
      <c r="B51" s="0" t="s">
        <v>156</v>
      </c>
      <c r="C51" s="18" t="n">
        <v>110</v>
      </c>
      <c r="D51" s="0" t="s">
        <v>157</v>
      </c>
      <c r="E51" s="14" t="s">
        <v>138</v>
      </c>
      <c r="F51" s="15" t="s">
        <v>158</v>
      </c>
    </row>
    <row r="52" customFormat="false" ht="15" hidden="false" customHeight="false" outlineLevel="0" collapsed="false">
      <c r="B52" s="0" t="s">
        <v>159</v>
      </c>
      <c r="C52" s="18" t="n">
        <v>700</v>
      </c>
      <c r="D52" s="0" t="s">
        <v>160</v>
      </c>
      <c r="E52" s="14" t="s">
        <v>138</v>
      </c>
      <c r="F52" s="15" t="s">
        <v>161</v>
      </c>
    </row>
    <row r="53" customFormat="false" ht="15" hidden="false" customHeight="false" outlineLevel="0" collapsed="false">
      <c r="B53" s="0" t="s">
        <v>162</v>
      </c>
      <c r="C53" s="18" t="n">
        <v>50</v>
      </c>
      <c r="D53" s="0" t="s">
        <v>163</v>
      </c>
      <c r="E53" s="14" t="s">
        <v>138</v>
      </c>
      <c r="F53" s="15"/>
    </row>
  </sheetData>
  <mergeCells count="6">
    <mergeCell ref="B2:F2"/>
    <mergeCell ref="B3:F3"/>
    <mergeCell ref="B5:F5"/>
    <mergeCell ref="B19:F19"/>
    <mergeCell ref="B28:F28"/>
    <mergeCell ref="B49:F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60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7" min="7" style="0" width="35"/>
  </cols>
  <sheetData>
    <row r="1" customFormat="false" ht="27.75" hidden="false" customHeight="true" outlineLevel="0" collapsed="false">
      <c r="A1" s="1" t="s">
        <v>164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165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12" t="s">
        <v>155</v>
      </c>
      <c r="B4" s="12" t="s">
        <v>48</v>
      </c>
      <c r="C4" s="12" t="s">
        <v>49</v>
      </c>
      <c r="D4" s="12" t="s">
        <v>166</v>
      </c>
      <c r="E4" s="12" t="s">
        <v>167</v>
      </c>
      <c r="F4" s="12" t="s">
        <v>168</v>
      </c>
      <c r="G4" s="12" t="s">
        <v>52</v>
      </c>
    </row>
    <row r="5" customFormat="false" ht="35.05" hidden="false" customHeight="false" outlineLevel="0" collapsed="false">
      <c r="A5" s="19" t="s">
        <v>55</v>
      </c>
      <c r="B5" s="20" t="s">
        <v>169</v>
      </c>
      <c r="C5" s="20" t="s">
        <v>170</v>
      </c>
      <c r="D5" s="21" t="s">
        <v>171</v>
      </c>
      <c r="E5" s="20" t="s">
        <v>172</v>
      </c>
      <c r="F5" s="20" t="s">
        <v>173</v>
      </c>
      <c r="G5" s="20" t="s">
        <v>174</v>
      </c>
    </row>
    <row r="6" customFormat="false" ht="23.85" hidden="false" customHeight="false" outlineLevel="0" collapsed="false">
      <c r="A6" s="22" t="s">
        <v>58</v>
      </c>
      <c r="B6" s="23" t="s">
        <v>175</v>
      </c>
      <c r="C6" s="23" t="s">
        <v>176</v>
      </c>
      <c r="D6" s="24" t="s">
        <v>177</v>
      </c>
      <c r="E6" s="23" t="s">
        <v>178</v>
      </c>
      <c r="F6" s="23" t="s">
        <v>178</v>
      </c>
      <c r="G6" s="23" t="s">
        <v>179</v>
      </c>
    </row>
    <row r="7" customFormat="false" ht="23.85" hidden="false" customHeight="false" outlineLevel="0" collapsed="false">
      <c r="A7" s="19" t="s">
        <v>60</v>
      </c>
      <c r="B7" s="20" t="s">
        <v>180</v>
      </c>
      <c r="C7" s="20" t="s">
        <v>181</v>
      </c>
      <c r="D7" s="21" t="s">
        <v>182</v>
      </c>
      <c r="E7" s="20" t="s">
        <v>178</v>
      </c>
      <c r="F7" s="20" t="s">
        <v>178</v>
      </c>
      <c r="G7" s="20" t="s">
        <v>183</v>
      </c>
    </row>
    <row r="8" customFormat="false" ht="15" hidden="false" customHeight="false" outlineLevel="0" collapsed="false">
      <c r="A8" s="22" t="s">
        <v>62</v>
      </c>
      <c r="B8" s="23" t="s">
        <v>184</v>
      </c>
      <c r="C8" s="23" t="s">
        <v>185</v>
      </c>
      <c r="D8" s="24" t="s">
        <v>186</v>
      </c>
      <c r="E8" s="23" t="s">
        <v>178</v>
      </c>
      <c r="F8" s="23" t="s">
        <v>178</v>
      </c>
      <c r="G8" s="23" t="s">
        <v>187</v>
      </c>
    </row>
    <row r="9" customFormat="false" ht="15" hidden="false" customHeight="false" outlineLevel="0" collapsed="false">
      <c r="A9" s="19" t="s">
        <v>64</v>
      </c>
      <c r="B9" s="20" t="s">
        <v>188</v>
      </c>
      <c r="C9" s="20" t="s">
        <v>189</v>
      </c>
      <c r="D9" s="21" t="s">
        <v>190</v>
      </c>
      <c r="E9" s="20" t="s">
        <v>178</v>
      </c>
      <c r="F9" s="20" t="s">
        <v>178</v>
      </c>
      <c r="G9" s="20" t="s">
        <v>191</v>
      </c>
    </row>
    <row r="10" customFormat="false" ht="23.85" hidden="false" customHeight="false" outlineLevel="0" collapsed="false">
      <c r="A10" s="22" t="s">
        <v>67</v>
      </c>
      <c r="B10" s="23" t="s">
        <v>66</v>
      </c>
      <c r="C10" s="23" t="s">
        <v>192</v>
      </c>
      <c r="D10" s="24" t="s">
        <v>193</v>
      </c>
      <c r="E10" s="23" t="s">
        <v>178</v>
      </c>
      <c r="F10" s="23" t="s">
        <v>178</v>
      </c>
      <c r="G10" s="23" t="s">
        <v>194</v>
      </c>
    </row>
    <row r="11" customFormat="false" ht="15" hidden="false" customHeight="false" outlineLevel="0" collapsed="false">
      <c r="A11" s="19" t="s">
        <v>69</v>
      </c>
      <c r="B11" s="20" t="s">
        <v>68</v>
      </c>
      <c r="C11" s="20" t="s">
        <v>195</v>
      </c>
      <c r="D11" s="21" t="s">
        <v>196</v>
      </c>
      <c r="E11" s="20" t="s">
        <v>178</v>
      </c>
      <c r="F11" s="20" t="s">
        <v>178</v>
      </c>
      <c r="G11" s="20"/>
    </row>
    <row r="12" customFormat="false" ht="23.85" hidden="false" customHeight="false" outlineLevel="0" collapsed="false">
      <c r="A12" s="22" t="s">
        <v>71</v>
      </c>
      <c r="B12" s="23" t="s">
        <v>197</v>
      </c>
      <c r="C12" s="23" t="s">
        <v>198</v>
      </c>
      <c r="D12" s="24" t="s">
        <v>199</v>
      </c>
      <c r="E12" s="23" t="s">
        <v>200</v>
      </c>
      <c r="F12" s="23" t="s">
        <v>201</v>
      </c>
      <c r="G12" s="23" t="s">
        <v>202</v>
      </c>
    </row>
    <row r="13" customFormat="false" ht="15" hidden="false" customHeight="false" outlineLevel="0" collapsed="false">
      <c r="A13" s="19" t="s">
        <v>75</v>
      </c>
      <c r="B13" s="20" t="s">
        <v>203</v>
      </c>
      <c r="C13" s="20" t="s">
        <v>204</v>
      </c>
      <c r="D13" s="21" t="s">
        <v>205</v>
      </c>
      <c r="E13" s="20" t="s">
        <v>206</v>
      </c>
      <c r="F13" s="20" t="s">
        <v>207</v>
      </c>
      <c r="G13" s="20" t="s">
        <v>208</v>
      </c>
    </row>
    <row r="14" customFormat="false" ht="23.85" hidden="false" customHeight="false" outlineLevel="0" collapsed="false">
      <c r="A14" s="22" t="s">
        <v>79</v>
      </c>
      <c r="B14" s="23" t="s">
        <v>209</v>
      </c>
      <c r="C14" s="23" t="s">
        <v>210</v>
      </c>
      <c r="D14" s="24" t="s">
        <v>211</v>
      </c>
      <c r="E14" s="23" t="s">
        <v>212</v>
      </c>
      <c r="F14" s="23" t="s">
        <v>201</v>
      </c>
      <c r="G14" s="23" t="s">
        <v>213</v>
      </c>
    </row>
    <row r="15" customFormat="false" ht="23.85" hidden="false" customHeight="false" outlineLevel="0" collapsed="false">
      <c r="A15" s="19" t="s">
        <v>84</v>
      </c>
      <c r="B15" s="20" t="s">
        <v>82</v>
      </c>
      <c r="C15" s="20" t="s">
        <v>214</v>
      </c>
      <c r="D15" s="21" t="s">
        <v>215</v>
      </c>
      <c r="E15" s="20" t="s">
        <v>216</v>
      </c>
      <c r="F15" s="20" t="s">
        <v>217</v>
      </c>
      <c r="G15" s="20" t="s">
        <v>218</v>
      </c>
    </row>
    <row r="16" customFormat="false" ht="15" hidden="false" customHeight="false" outlineLevel="0" collapsed="false">
      <c r="A16" s="22" t="s">
        <v>88</v>
      </c>
      <c r="B16" s="23" t="s">
        <v>86</v>
      </c>
      <c r="C16" s="23" t="s">
        <v>219</v>
      </c>
      <c r="D16" s="24" t="s">
        <v>220</v>
      </c>
      <c r="E16" s="23" t="s">
        <v>216</v>
      </c>
      <c r="F16" s="23" t="s">
        <v>201</v>
      </c>
      <c r="G16" s="23"/>
    </row>
    <row r="17" customFormat="false" ht="23.85" hidden="false" customHeight="false" outlineLevel="0" collapsed="false">
      <c r="A17" s="19" t="s">
        <v>91</v>
      </c>
      <c r="B17" s="20" t="s">
        <v>221</v>
      </c>
      <c r="C17" s="20" t="s">
        <v>222</v>
      </c>
      <c r="D17" s="21" t="s">
        <v>223</v>
      </c>
      <c r="E17" s="20" t="s">
        <v>216</v>
      </c>
      <c r="F17" s="20" t="s">
        <v>224</v>
      </c>
      <c r="G17" s="20" t="s">
        <v>225</v>
      </c>
    </row>
    <row r="18" customFormat="false" ht="15" hidden="false" customHeight="false" outlineLevel="0" collapsed="false">
      <c r="A18" s="22" t="s">
        <v>95</v>
      </c>
      <c r="B18" s="23" t="s">
        <v>226</v>
      </c>
      <c r="C18" s="23" t="s">
        <v>227</v>
      </c>
      <c r="D18" s="24" t="s">
        <v>228</v>
      </c>
      <c r="E18" s="23" t="s">
        <v>229</v>
      </c>
      <c r="F18" s="23" t="s">
        <v>201</v>
      </c>
      <c r="G18" s="23"/>
    </row>
    <row r="19" customFormat="false" ht="15" hidden="false" customHeight="false" outlineLevel="0" collapsed="false">
      <c r="A19" s="19" t="s">
        <v>97</v>
      </c>
      <c r="B19" s="20" t="s">
        <v>230</v>
      </c>
      <c r="C19" s="20" t="s">
        <v>231</v>
      </c>
      <c r="D19" s="21" t="s">
        <v>232</v>
      </c>
      <c r="E19" s="20" t="s">
        <v>229</v>
      </c>
      <c r="F19" s="20" t="s">
        <v>201</v>
      </c>
      <c r="G19" s="20"/>
    </row>
    <row r="20" customFormat="false" ht="15" hidden="false" customHeight="false" outlineLevel="0" collapsed="false">
      <c r="A20" s="22" t="s">
        <v>101</v>
      </c>
      <c r="B20" s="23" t="s">
        <v>99</v>
      </c>
      <c r="C20" s="23" t="s">
        <v>233</v>
      </c>
      <c r="D20" s="24" t="s">
        <v>234</v>
      </c>
      <c r="E20" s="23" t="s">
        <v>201</v>
      </c>
      <c r="F20" s="23" t="s">
        <v>235</v>
      </c>
      <c r="G20" s="23"/>
    </row>
    <row r="21" customFormat="false" ht="22.35" hidden="false" customHeight="false" outlineLevel="0" collapsed="false">
      <c r="A21" s="19" t="s">
        <v>104</v>
      </c>
      <c r="B21" s="20" t="s">
        <v>236</v>
      </c>
      <c r="C21" s="20" t="s">
        <v>237</v>
      </c>
      <c r="D21" s="21" t="s">
        <v>238</v>
      </c>
      <c r="E21" s="20" t="s">
        <v>201</v>
      </c>
      <c r="F21" s="20" t="s">
        <v>235</v>
      </c>
      <c r="G21" s="20" t="s">
        <v>239</v>
      </c>
    </row>
    <row r="22" customFormat="false" ht="22.35" hidden="false" customHeight="false" outlineLevel="0" collapsed="false">
      <c r="A22" s="22" t="s">
        <v>107</v>
      </c>
      <c r="B22" s="23" t="s">
        <v>240</v>
      </c>
      <c r="C22" s="23" t="s">
        <v>241</v>
      </c>
      <c r="D22" s="24" t="s">
        <v>242</v>
      </c>
      <c r="E22" s="23" t="s">
        <v>243</v>
      </c>
      <c r="F22" s="23" t="s">
        <v>201</v>
      </c>
      <c r="G22" s="23"/>
    </row>
    <row r="23" customFormat="false" ht="23.85" hidden="false" customHeight="false" outlineLevel="0" collapsed="false">
      <c r="A23" s="19" t="s">
        <v>110</v>
      </c>
      <c r="B23" s="20" t="s">
        <v>244</v>
      </c>
      <c r="C23" s="20" t="s">
        <v>245</v>
      </c>
      <c r="D23" s="21" t="s">
        <v>246</v>
      </c>
      <c r="E23" s="20" t="s">
        <v>247</v>
      </c>
      <c r="F23" s="20" t="s">
        <v>201</v>
      </c>
      <c r="G23" s="20" t="s">
        <v>248</v>
      </c>
    </row>
    <row r="24" customFormat="false" ht="23.85" hidden="false" customHeight="false" outlineLevel="0" collapsed="false">
      <c r="A24" s="22" t="s">
        <v>113</v>
      </c>
      <c r="B24" s="23" t="s">
        <v>249</v>
      </c>
      <c r="C24" s="23" t="s">
        <v>250</v>
      </c>
      <c r="D24" s="24" t="s">
        <v>251</v>
      </c>
      <c r="E24" s="23" t="s">
        <v>252</v>
      </c>
      <c r="F24" s="23" t="s">
        <v>253</v>
      </c>
      <c r="G24" s="23" t="s">
        <v>254</v>
      </c>
    </row>
    <row r="25" customFormat="false" ht="23.85" hidden="false" customHeight="false" outlineLevel="0" collapsed="false">
      <c r="A25" s="19" t="s">
        <v>117</v>
      </c>
      <c r="B25" s="20" t="s">
        <v>255</v>
      </c>
      <c r="C25" s="20" t="s">
        <v>256</v>
      </c>
      <c r="D25" s="21" t="s">
        <v>257</v>
      </c>
      <c r="E25" s="20" t="s">
        <v>247</v>
      </c>
      <c r="F25" s="20" t="s">
        <v>201</v>
      </c>
      <c r="G25" s="20" t="s">
        <v>258</v>
      </c>
    </row>
    <row r="26" customFormat="false" ht="15" hidden="false" customHeight="false" outlineLevel="0" collapsed="false">
      <c r="A26" s="22" t="s">
        <v>120</v>
      </c>
      <c r="B26" s="23" t="s">
        <v>119</v>
      </c>
      <c r="C26" s="23" t="s">
        <v>259</v>
      </c>
      <c r="D26" s="24" t="s">
        <v>260</v>
      </c>
      <c r="E26" s="23" t="s">
        <v>261</v>
      </c>
      <c r="F26" s="23" t="s">
        <v>201</v>
      </c>
      <c r="G26" s="23" t="s">
        <v>262</v>
      </c>
    </row>
    <row r="27" customFormat="false" ht="15" hidden="false" customHeight="false" outlineLevel="0" collapsed="false">
      <c r="A27" s="19" t="s">
        <v>123</v>
      </c>
      <c r="B27" s="20" t="s">
        <v>122</v>
      </c>
      <c r="C27" s="20" t="s">
        <v>263</v>
      </c>
      <c r="D27" s="21" t="s">
        <v>264</v>
      </c>
      <c r="E27" s="20" t="s">
        <v>201</v>
      </c>
      <c r="F27" s="20"/>
      <c r="G27" s="20"/>
    </row>
    <row r="28" customFormat="false" ht="15" hidden="false" customHeight="false" outlineLevel="0" collapsed="false">
      <c r="A28" s="22" t="s">
        <v>125</v>
      </c>
      <c r="B28" s="23" t="s">
        <v>124</v>
      </c>
      <c r="C28" s="23" t="s">
        <v>265</v>
      </c>
      <c r="D28" s="24" t="s">
        <v>266</v>
      </c>
      <c r="E28" s="23" t="s">
        <v>201</v>
      </c>
      <c r="F28" s="23" t="s">
        <v>267</v>
      </c>
      <c r="G28" s="23"/>
    </row>
    <row r="29" customFormat="false" ht="23.85" hidden="false" customHeight="false" outlineLevel="0" collapsed="false">
      <c r="A29" s="19" t="s">
        <v>127</v>
      </c>
      <c r="B29" s="20" t="s">
        <v>126</v>
      </c>
      <c r="C29" s="20" t="s">
        <v>268</v>
      </c>
      <c r="D29" s="21" t="s">
        <v>269</v>
      </c>
      <c r="E29" s="20" t="s">
        <v>201</v>
      </c>
      <c r="F29" s="20"/>
      <c r="G29" s="20"/>
    </row>
    <row r="30" customFormat="false" ht="23.85" hidden="false" customHeight="false" outlineLevel="0" collapsed="false">
      <c r="A30" s="22" t="s">
        <v>130</v>
      </c>
      <c r="B30" s="23" t="s">
        <v>270</v>
      </c>
      <c r="C30" s="23" t="s">
        <v>271</v>
      </c>
      <c r="D30" s="24" t="s">
        <v>272</v>
      </c>
      <c r="E30" s="23" t="s">
        <v>273</v>
      </c>
      <c r="F30" s="23" t="s">
        <v>201</v>
      </c>
      <c r="G30" s="23" t="s">
        <v>274</v>
      </c>
    </row>
    <row r="31" customFormat="false" ht="15" hidden="false" customHeight="false" outlineLevel="0" collapsed="false">
      <c r="A31" s="19" t="s">
        <v>133</v>
      </c>
      <c r="B31" s="20" t="s">
        <v>275</v>
      </c>
      <c r="C31" s="20" t="s">
        <v>276</v>
      </c>
      <c r="D31" s="21" t="s">
        <v>277</v>
      </c>
      <c r="E31" s="20" t="s">
        <v>201</v>
      </c>
      <c r="F31" s="20" t="s">
        <v>235</v>
      </c>
      <c r="G31" s="20"/>
    </row>
    <row r="32" customFormat="false" ht="15" hidden="false" customHeight="false" outlineLevel="0" collapsed="false">
      <c r="A32" s="22" t="s">
        <v>136</v>
      </c>
      <c r="B32" s="23" t="s">
        <v>278</v>
      </c>
      <c r="C32" s="23" t="s">
        <v>279</v>
      </c>
      <c r="D32" s="24" t="s">
        <v>280</v>
      </c>
      <c r="E32" s="23" t="s">
        <v>252</v>
      </c>
      <c r="F32" s="23" t="s">
        <v>201</v>
      </c>
      <c r="G32" s="23"/>
    </row>
    <row r="33" customFormat="false" ht="35.05" hidden="false" customHeight="false" outlineLevel="0" collapsed="false">
      <c r="A33" s="19" t="s">
        <v>139</v>
      </c>
      <c r="B33" s="20" t="s">
        <v>281</v>
      </c>
      <c r="C33" s="20" t="s">
        <v>282</v>
      </c>
      <c r="D33" s="21" t="s">
        <v>283</v>
      </c>
      <c r="E33" s="20" t="s">
        <v>284</v>
      </c>
      <c r="F33" s="20" t="s">
        <v>235</v>
      </c>
      <c r="G33" s="20"/>
    </row>
    <row r="34" customFormat="false" ht="22.35" hidden="false" customHeight="false" outlineLevel="0" collapsed="false">
      <c r="A34" s="22" t="s">
        <v>142</v>
      </c>
      <c r="B34" s="23" t="s">
        <v>285</v>
      </c>
      <c r="C34" s="23" t="s">
        <v>286</v>
      </c>
      <c r="D34" s="24" t="s">
        <v>287</v>
      </c>
      <c r="E34" s="23" t="s">
        <v>201</v>
      </c>
      <c r="F34" s="23" t="s">
        <v>235</v>
      </c>
      <c r="G34" s="23" t="s">
        <v>288</v>
      </c>
    </row>
    <row r="35" customFormat="false" ht="23.85" hidden="false" customHeight="false" outlineLevel="0" collapsed="false">
      <c r="A35" s="19" t="s">
        <v>289</v>
      </c>
      <c r="B35" s="20" t="s">
        <v>290</v>
      </c>
      <c r="C35" s="20" t="s">
        <v>138</v>
      </c>
      <c r="D35" s="21" t="s">
        <v>291</v>
      </c>
      <c r="E35" s="20" t="s">
        <v>206</v>
      </c>
      <c r="F35" s="20" t="s">
        <v>207</v>
      </c>
      <c r="G35" s="20" t="s">
        <v>292</v>
      </c>
    </row>
    <row r="36" customFormat="false" ht="15" hidden="false" customHeight="false" outlineLevel="0" collapsed="false">
      <c r="A36" s="22" t="s">
        <v>293</v>
      </c>
      <c r="B36" s="23" t="s">
        <v>294</v>
      </c>
      <c r="C36" s="23" t="s">
        <v>222</v>
      </c>
      <c r="D36" s="24" t="s">
        <v>295</v>
      </c>
      <c r="E36" s="23" t="s">
        <v>296</v>
      </c>
      <c r="F36" s="23" t="s">
        <v>207</v>
      </c>
      <c r="G36" s="23"/>
    </row>
    <row r="37" customFormat="false" ht="23.85" hidden="false" customHeight="false" outlineLevel="0" collapsed="false">
      <c r="A37" s="19" t="s">
        <v>297</v>
      </c>
      <c r="B37" s="20" t="s">
        <v>298</v>
      </c>
      <c r="C37" s="20" t="s">
        <v>138</v>
      </c>
      <c r="D37" s="21" t="s">
        <v>299</v>
      </c>
      <c r="E37" s="20" t="s">
        <v>300</v>
      </c>
      <c r="F37" s="20" t="s">
        <v>301</v>
      </c>
      <c r="G37" s="20" t="s">
        <v>302</v>
      </c>
    </row>
    <row r="38" customFormat="false" ht="23.85" hidden="false" customHeight="false" outlineLevel="0" collapsed="false">
      <c r="A38" s="22" t="s">
        <v>303</v>
      </c>
      <c r="B38" s="23" t="s">
        <v>304</v>
      </c>
      <c r="C38" s="23" t="s">
        <v>138</v>
      </c>
      <c r="D38" s="24" t="s">
        <v>305</v>
      </c>
      <c r="E38" s="23" t="s">
        <v>235</v>
      </c>
      <c r="F38" s="23"/>
      <c r="G38" s="23"/>
    </row>
    <row r="39" customFormat="false" ht="15" hidden="false" customHeight="false" outlineLevel="0" collapsed="false">
      <c r="A39" s="19" t="s">
        <v>306</v>
      </c>
      <c r="B39" s="20" t="s">
        <v>307</v>
      </c>
      <c r="C39" s="20" t="s">
        <v>308</v>
      </c>
      <c r="D39" s="21" t="s">
        <v>309</v>
      </c>
      <c r="E39" s="20" t="s">
        <v>310</v>
      </c>
      <c r="F39" s="20" t="s">
        <v>235</v>
      </c>
      <c r="G39" s="20"/>
    </row>
    <row r="40" customFormat="false" ht="23.85" hidden="false" customHeight="false" outlineLevel="0" collapsed="false">
      <c r="A40" s="22" t="s">
        <v>311</v>
      </c>
      <c r="B40" s="23" t="s">
        <v>312</v>
      </c>
      <c r="C40" s="23" t="s">
        <v>138</v>
      </c>
      <c r="D40" s="24" t="s">
        <v>313</v>
      </c>
      <c r="E40" s="23" t="s">
        <v>314</v>
      </c>
      <c r="F40" s="23" t="s">
        <v>201</v>
      </c>
      <c r="G40" s="23" t="s">
        <v>315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45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8" min="6" style="0" width="14"/>
    <col collapsed="false" customWidth="true" hidden="false" outlineLevel="0" max="9" min="9" style="0" width="10"/>
    <col collapsed="false" customWidth="true" hidden="false" outlineLevel="0" max="10" min="10" style="0" width="18"/>
  </cols>
  <sheetData>
    <row r="1" customFormat="false" ht="25.5" hidden="false" customHeight="true" outlineLevel="0" collapsed="false">
      <c r="A1" s="25" t="s">
        <v>316</v>
      </c>
      <c r="B1" s="25"/>
      <c r="C1" s="25"/>
      <c r="D1" s="25"/>
      <c r="E1" s="25"/>
      <c r="F1" s="25"/>
      <c r="G1" s="25"/>
      <c r="H1" s="25"/>
      <c r="I1" s="25"/>
      <c r="J1" s="25"/>
    </row>
    <row r="2" customFormat="false" ht="15" hidden="false" customHeight="false" outlineLevel="0" collapsed="false">
      <c r="A2" s="2" t="s">
        <v>317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3.85" hidden="false" customHeight="false" outlineLevel="0" collapsed="false">
      <c r="A4" s="12" t="s">
        <v>318</v>
      </c>
      <c r="B4" s="12" t="s">
        <v>319</v>
      </c>
      <c r="C4" s="12" t="s">
        <v>320</v>
      </c>
      <c r="D4" s="12" t="s">
        <v>321</v>
      </c>
      <c r="E4" s="12" t="s">
        <v>322</v>
      </c>
      <c r="F4" s="12" t="s">
        <v>323</v>
      </c>
      <c r="G4" s="12" t="s">
        <v>324</v>
      </c>
      <c r="H4" s="12" t="s">
        <v>325</v>
      </c>
      <c r="I4" s="12" t="s">
        <v>326</v>
      </c>
      <c r="J4" s="12" t="s">
        <v>327</v>
      </c>
    </row>
    <row r="5" customFormat="false" ht="15" hidden="false" customHeight="false" outlineLevel="0" collapsed="false">
      <c r="A5" s="26" t="s">
        <v>328</v>
      </c>
      <c r="B5" s="27" t="s">
        <v>329</v>
      </c>
      <c r="C5" s="27" t="s">
        <v>330</v>
      </c>
      <c r="D5" s="28" t="n">
        <v>1</v>
      </c>
      <c r="E5" s="28" t="n">
        <v>1</v>
      </c>
      <c r="F5" s="28" t="n">
        <v>15</v>
      </c>
      <c r="G5" s="28" t="n">
        <v>5</v>
      </c>
      <c r="H5" s="29" t="n">
        <f aca="false">(F5+G5)*E5</f>
        <v>20</v>
      </c>
      <c r="I5" s="30" t="s">
        <v>331</v>
      </c>
      <c r="J5" s="27" t="s">
        <v>332</v>
      </c>
    </row>
    <row r="6" customFormat="false" ht="15" hidden="false" customHeight="false" outlineLevel="0" collapsed="false">
      <c r="A6" s="26" t="s">
        <v>333</v>
      </c>
      <c r="B6" s="27" t="s">
        <v>334</v>
      </c>
      <c r="C6" s="27" t="s">
        <v>335</v>
      </c>
      <c r="D6" s="28" t="n">
        <v>2</v>
      </c>
      <c r="E6" s="28" t="n">
        <v>2</v>
      </c>
      <c r="F6" s="28" t="n">
        <v>18</v>
      </c>
      <c r="G6" s="28" t="n">
        <v>4</v>
      </c>
      <c r="H6" s="29" t="n">
        <f aca="false">(F6+G6)*E6</f>
        <v>44</v>
      </c>
      <c r="I6" s="30" t="s">
        <v>336</v>
      </c>
      <c r="J6" s="27" t="s">
        <v>337</v>
      </c>
    </row>
    <row r="7" customFormat="false" ht="15" hidden="false" customHeight="false" outlineLevel="0" collapsed="false">
      <c r="A7" s="26" t="s">
        <v>338</v>
      </c>
      <c r="B7" s="27" t="s">
        <v>334</v>
      </c>
      <c r="C7" s="27" t="s">
        <v>339</v>
      </c>
      <c r="D7" s="28" t="n">
        <v>1</v>
      </c>
      <c r="E7" s="28" t="n">
        <v>1</v>
      </c>
      <c r="F7" s="28" t="n">
        <v>18</v>
      </c>
      <c r="G7" s="28" t="n">
        <v>4</v>
      </c>
      <c r="H7" s="29" t="n">
        <f aca="false">(F7+G7)*E7</f>
        <v>22</v>
      </c>
      <c r="I7" s="30" t="s">
        <v>331</v>
      </c>
      <c r="J7" s="27" t="s">
        <v>340</v>
      </c>
    </row>
    <row r="8" customFormat="false" ht="15" hidden="false" customHeight="false" outlineLevel="0" collapsed="false">
      <c r="A8" s="26" t="s">
        <v>341</v>
      </c>
      <c r="B8" s="27" t="s">
        <v>334</v>
      </c>
      <c r="C8" s="27" t="s">
        <v>342</v>
      </c>
      <c r="D8" s="28" t="n">
        <v>2</v>
      </c>
      <c r="E8" s="28" t="n">
        <v>1</v>
      </c>
      <c r="F8" s="28" t="n">
        <v>15</v>
      </c>
      <c r="G8" s="28" t="n">
        <v>5</v>
      </c>
      <c r="H8" s="29" t="n">
        <f aca="false">(F8+G8)*E8</f>
        <v>20</v>
      </c>
      <c r="I8" s="30" t="s">
        <v>331</v>
      </c>
      <c r="J8" s="27" t="s">
        <v>343</v>
      </c>
    </row>
    <row r="9" customFormat="false" ht="15" hidden="false" customHeight="false" outlineLevel="0" collapsed="false">
      <c r="A9" s="26" t="s">
        <v>344</v>
      </c>
      <c r="B9" s="27" t="s">
        <v>345</v>
      </c>
      <c r="C9" s="27" t="s">
        <v>346</v>
      </c>
      <c r="D9" s="28" t="n">
        <v>2</v>
      </c>
      <c r="E9" s="28" t="n">
        <v>1</v>
      </c>
      <c r="F9" s="28" t="n">
        <v>12</v>
      </c>
      <c r="G9" s="28" t="n">
        <v>6</v>
      </c>
      <c r="H9" s="29" t="n">
        <f aca="false">(F9+G9)*E9</f>
        <v>18</v>
      </c>
      <c r="I9" s="30" t="s">
        <v>347</v>
      </c>
      <c r="J9" s="27" t="s">
        <v>348</v>
      </c>
    </row>
    <row r="10" customFormat="false" ht="15" hidden="false" customHeight="false" outlineLevel="0" collapsed="false">
      <c r="A10" s="26" t="s">
        <v>349</v>
      </c>
      <c r="B10" s="27" t="s">
        <v>345</v>
      </c>
      <c r="C10" s="27" t="s">
        <v>350</v>
      </c>
      <c r="D10" s="28" t="n">
        <v>1</v>
      </c>
      <c r="E10" s="28" t="n">
        <v>2</v>
      </c>
      <c r="F10" s="28" t="n">
        <v>15</v>
      </c>
      <c r="G10" s="28" t="n">
        <v>5</v>
      </c>
      <c r="H10" s="29" t="n">
        <f aca="false">(F10+G10)*E10</f>
        <v>40</v>
      </c>
      <c r="I10" s="30" t="s">
        <v>347</v>
      </c>
      <c r="J10" s="27" t="s">
        <v>351</v>
      </c>
    </row>
    <row r="11" customFormat="false" ht="15" hidden="false" customHeight="false" outlineLevel="0" collapsed="false">
      <c r="A11" s="26" t="s">
        <v>352</v>
      </c>
      <c r="B11" s="27" t="s">
        <v>345</v>
      </c>
      <c r="C11" s="27" t="s">
        <v>353</v>
      </c>
      <c r="D11" s="28" t="n">
        <v>1</v>
      </c>
      <c r="E11" s="28" t="n">
        <v>1</v>
      </c>
      <c r="F11" s="28" t="n">
        <v>15</v>
      </c>
      <c r="G11" s="28" t="n">
        <v>4</v>
      </c>
      <c r="H11" s="29" t="n">
        <f aca="false">(F11+G11)*E11</f>
        <v>19</v>
      </c>
      <c r="I11" s="30" t="s">
        <v>347</v>
      </c>
      <c r="J11" s="27" t="s">
        <v>354</v>
      </c>
    </row>
    <row r="12" customFormat="false" ht="15" hidden="false" customHeight="false" outlineLevel="0" collapsed="false">
      <c r="A12" s="26" t="s">
        <v>355</v>
      </c>
      <c r="B12" s="27" t="s">
        <v>356</v>
      </c>
      <c r="C12" s="27" t="s">
        <v>357</v>
      </c>
      <c r="D12" s="28" t="n">
        <v>2</v>
      </c>
      <c r="E12" s="28" t="n">
        <v>1</v>
      </c>
      <c r="F12" s="28" t="n">
        <v>12</v>
      </c>
      <c r="G12" s="28" t="n">
        <v>6</v>
      </c>
      <c r="H12" s="29" t="n">
        <f aca="false">(F12+G12)*E12</f>
        <v>18</v>
      </c>
      <c r="I12" s="30" t="s">
        <v>331</v>
      </c>
      <c r="J12" s="27" t="s">
        <v>358</v>
      </c>
    </row>
    <row r="13" customFormat="false" ht="15" hidden="false" customHeight="false" outlineLevel="0" collapsed="false">
      <c r="A13" s="26" t="s">
        <v>359</v>
      </c>
      <c r="B13" s="27" t="s">
        <v>356</v>
      </c>
      <c r="C13" s="27" t="s">
        <v>360</v>
      </c>
      <c r="D13" s="28" t="n">
        <v>1</v>
      </c>
      <c r="E13" s="28" t="n">
        <v>1</v>
      </c>
      <c r="F13" s="28" t="n">
        <v>12</v>
      </c>
      <c r="G13" s="28" t="n">
        <v>6</v>
      </c>
      <c r="H13" s="29" t="n">
        <f aca="false">(F13+G13)*E13</f>
        <v>18</v>
      </c>
      <c r="I13" s="30" t="s">
        <v>331</v>
      </c>
      <c r="J13" s="27" t="s">
        <v>358</v>
      </c>
    </row>
    <row r="14" customFormat="false" ht="15" hidden="false" customHeight="false" outlineLevel="0" collapsed="false">
      <c r="A14" s="26" t="s">
        <v>361</v>
      </c>
      <c r="B14" s="27" t="s">
        <v>362</v>
      </c>
      <c r="C14" s="27" t="s">
        <v>363</v>
      </c>
      <c r="D14" s="28" t="n">
        <v>2</v>
      </c>
      <c r="E14" s="28" t="n">
        <v>1</v>
      </c>
      <c r="F14" s="28" t="n">
        <v>12</v>
      </c>
      <c r="G14" s="28" t="n">
        <v>8</v>
      </c>
      <c r="H14" s="29" t="n">
        <f aca="false">(F14+G14)*E14</f>
        <v>20</v>
      </c>
      <c r="I14" s="30" t="s">
        <v>347</v>
      </c>
      <c r="J14" s="27" t="s">
        <v>364</v>
      </c>
    </row>
    <row r="15" customFormat="false" ht="15" hidden="false" customHeight="false" outlineLevel="0" collapsed="false">
      <c r="A15" s="26" t="s">
        <v>365</v>
      </c>
      <c r="B15" s="27" t="s">
        <v>362</v>
      </c>
      <c r="C15" s="27" t="s">
        <v>366</v>
      </c>
      <c r="D15" s="28" t="n">
        <v>1</v>
      </c>
      <c r="E15" s="28" t="n">
        <v>1</v>
      </c>
      <c r="F15" s="28" t="n">
        <v>12</v>
      </c>
      <c r="G15" s="28" t="n">
        <v>8</v>
      </c>
      <c r="H15" s="29" t="n">
        <f aca="false">(F15+G15)*E15</f>
        <v>20</v>
      </c>
      <c r="I15" s="30" t="s">
        <v>347</v>
      </c>
      <c r="J15" s="27" t="s">
        <v>364</v>
      </c>
    </row>
    <row r="16" customFormat="false" ht="15" hidden="false" customHeight="false" outlineLevel="0" collapsed="false">
      <c r="A16" s="26" t="s">
        <v>367</v>
      </c>
      <c r="B16" s="27" t="s">
        <v>362</v>
      </c>
      <c r="C16" s="27" t="s">
        <v>368</v>
      </c>
      <c r="D16" s="28" t="n">
        <v>2</v>
      </c>
      <c r="E16" s="28" t="n">
        <v>1</v>
      </c>
      <c r="F16" s="28" t="n">
        <v>12</v>
      </c>
      <c r="G16" s="28" t="n">
        <v>8</v>
      </c>
      <c r="H16" s="29" t="n">
        <f aca="false">(F16+G16)*E16</f>
        <v>20</v>
      </c>
      <c r="I16" s="30" t="s">
        <v>347</v>
      </c>
      <c r="J16" s="27" t="s">
        <v>369</v>
      </c>
    </row>
    <row r="17" customFormat="false" ht="15" hidden="false" customHeight="false" outlineLevel="0" collapsed="false">
      <c r="A17" s="26" t="s">
        <v>370</v>
      </c>
      <c r="B17" s="27" t="s">
        <v>362</v>
      </c>
      <c r="C17" s="27" t="s">
        <v>371</v>
      </c>
      <c r="D17" s="28" t="n">
        <v>1</v>
      </c>
      <c r="E17" s="28" t="n">
        <v>1</v>
      </c>
      <c r="F17" s="28" t="n">
        <v>12</v>
      </c>
      <c r="G17" s="28" t="n">
        <v>8</v>
      </c>
      <c r="H17" s="29" t="n">
        <f aca="false">(F17+G17)*E17</f>
        <v>20</v>
      </c>
      <c r="I17" s="30" t="s">
        <v>347</v>
      </c>
      <c r="J17" s="27" t="s">
        <v>372</v>
      </c>
    </row>
    <row r="18" customFormat="false" ht="15" hidden="false" customHeight="false" outlineLevel="0" collapsed="false">
      <c r="A18" s="26" t="s">
        <v>373</v>
      </c>
      <c r="B18" s="27" t="s">
        <v>374</v>
      </c>
      <c r="C18" s="27" t="s">
        <v>375</v>
      </c>
      <c r="D18" s="28" t="n">
        <v>1</v>
      </c>
      <c r="E18" s="28" t="n">
        <v>1</v>
      </c>
      <c r="F18" s="28" t="n">
        <v>12</v>
      </c>
      <c r="G18" s="28" t="n">
        <v>4</v>
      </c>
      <c r="H18" s="29" t="n">
        <f aca="false">(F18+G18)*E18</f>
        <v>16</v>
      </c>
      <c r="I18" s="30" t="s">
        <v>347</v>
      </c>
      <c r="J18" s="27" t="s">
        <v>372</v>
      </c>
    </row>
    <row r="19" customFormat="false" ht="15" hidden="false" customHeight="false" outlineLevel="0" collapsed="false">
      <c r="A19" s="26" t="s">
        <v>376</v>
      </c>
      <c r="B19" s="27" t="s">
        <v>374</v>
      </c>
      <c r="C19" s="27" t="s">
        <v>377</v>
      </c>
      <c r="D19" s="28" t="n">
        <v>1</v>
      </c>
      <c r="E19" s="28" t="n">
        <v>1</v>
      </c>
      <c r="F19" s="28" t="n">
        <v>12</v>
      </c>
      <c r="G19" s="28" t="n">
        <v>4</v>
      </c>
      <c r="H19" s="29" t="n">
        <f aca="false">(F19+G19)*E19</f>
        <v>16</v>
      </c>
      <c r="I19" s="30" t="s">
        <v>347</v>
      </c>
      <c r="J19" s="27" t="s">
        <v>372</v>
      </c>
    </row>
    <row r="20" customFormat="false" ht="15" hidden="false" customHeight="false" outlineLevel="0" collapsed="false">
      <c r="A20" s="26" t="s">
        <v>378</v>
      </c>
      <c r="B20" s="27" t="s">
        <v>379</v>
      </c>
      <c r="C20" s="27" t="s">
        <v>380</v>
      </c>
      <c r="D20" s="28" t="n">
        <v>2</v>
      </c>
      <c r="E20" s="28" t="n">
        <v>1</v>
      </c>
      <c r="F20" s="28" t="n">
        <v>12</v>
      </c>
      <c r="G20" s="28" t="n">
        <v>6</v>
      </c>
      <c r="H20" s="29" t="n">
        <f aca="false">(F20+G20)*E20</f>
        <v>18</v>
      </c>
      <c r="I20" s="30" t="s">
        <v>347</v>
      </c>
      <c r="J20" s="27" t="s">
        <v>348</v>
      </c>
    </row>
    <row r="21" customFormat="false" ht="15" hidden="false" customHeight="false" outlineLevel="0" collapsed="false">
      <c r="A21" s="26" t="s">
        <v>381</v>
      </c>
      <c r="B21" s="27" t="s">
        <v>379</v>
      </c>
      <c r="C21" s="27" t="s">
        <v>382</v>
      </c>
      <c r="D21" s="28" t="n">
        <v>1</v>
      </c>
      <c r="E21" s="28" t="n">
        <v>2</v>
      </c>
      <c r="F21" s="28" t="n">
        <v>15</v>
      </c>
      <c r="G21" s="28" t="n">
        <v>5</v>
      </c>
      <c r="H21" s="29" t="n">
        <f aca="false">(F21+G21)*E21</f>
        <v>40</v>
      </c>
      <c r="I21" s="30" t="s">
        <v>347</v>
      </c>
      <c r="J21" s="27" t="s">
        <v>383</v>
      </c>
    </row>
    <row r="22" customFormat="false" ht="15" hidden="false" customHeight="false" outlineLevel="0" collapsed="false">
      <c r="A22" s="26" t="s">
        <v>384</v>
      </c>
      <c r="B22" s="27" t="s">
        <v>385</v>
      </c>
      <c r="C22" s="27" t="s">
        <v>386</v>
      </c>
      <c r="D22" s="28" t="n">
        <v>1</v>
      </c>
      <c r="E22" s="28" t="n">
        <v>1</v>
      </c>
      <c r="F22" s="28" t="n">
        <v>15</v>
      </c>
      <c r="G22" s="28" t="n">
        <v>5</v>
      </c>
      <c r="H22" s="29" t="n">
        <f aca="false">(F22+G22)*E22</f>
        <v>20</v>
      </c>
      <c r="I22" s="30" t="s">
        <v>347</v>
      </c>
      <c r="J22" s="27" t="s">
        <v>348</v>
      </c>
    </row>
    <row r="23" customFormat="false" ht="15" hidden="false" customHeight="false" outlineLevel="0" collapsed="false">
      <c r="A23" s="26" t="s">
        <v>387</v>
      </c>
      <c r="B23" s="27" t="s">
        <v>385</v>
      </c>
      <c r="C23" s="27" t="s">
        <v>388</v>
      </c>
      <c r="D23" s="28" t="n">
        <v>1</v>
      </c>
      <c r="E23" s="28" t="n">
        <v>1</v>
      </c>
      <c r="F23" s="28" t="n">
        <v>15</v>
      </c>
      <c r="G23" s="28" t="n">
        <v>5</v>
      </c>
      <c r="H23" s="29" t="n">
        <f aca="false">(F23+G23)*E23</f>
        <v>20</v>
      </c>
      <c r="I23" s="30" t="s">
        <v>347</v>
      </c>
      <c r="J23" s="27" t="s">
        <v>389</v>
      </c>
    </row>
    <row r="24" customFormat="false" ht="15" hidden="false" customHeight="false" outlineLevel="0" collapsed="false">
      <c r="A24" s="26" t="s">
        <v>390</v>
      </c>
      <c r="B24" s="27" t="s">
        <v>385</v>
      </c>
      <c r="C24" s="27" t="s">
        <v>391</v>
      </c>
      <c r="D24" s="28" t="n">
        <v>1</v>
      </c>
      <c r="E24" s="28" t="n">
        <v>1</v>
      </c>
      <c r="F24" s="28" t="n">
        <v>15</v>
      </c>
      <c r="G24" s="28" t="n">
        <v>5</v>
      </c>
      <c r="H24" s="29" t="n">
        <f aca="false">(F24+G24)*E24</f>
        <v>20</v>
      </c>
      <c r="I24" s="30" t="s">
        <v>347</v>
      </c>
      <c r="J24" s="27" t="s">
        <v>392</v>
      </c>
    </row>
    <row r="25" customFormat="false" ht="15" hidden="false" customHeight="false" outlineLevel="0" collapsed="false">
      <c r="A25" s="26" t="s">
        <v>393</v>
      </c>
      <c r="B25" s="27" t="s">
        <v>385</v>
      </c>
      <c r="C25" s="27" t="s">
        <v>394</v>
      </c>
      <c r="D25" s="28" t="n">
        <v>1</v>
      </c>
      <c r="E25" s="28" t="n">
        <v>1</v>
      </c>
      <c r="F25" s="28" t="n">
        <v>15</v>
      </c>
      <c r="G25" s="28" t="n">
        <v>5</v>
      </c>
      <c r="H25" s="29" t="n">
        <f aca="false">(F25+G25)*E25</f>
        <v>20</v>
      </c>
      <c r="I25" s="30" t="s">
        <v>347</v>
      </c>
      <c r="J25" s="27" t="s">
        <v>395</v>
      </c>
    </row>
    <row r="26" customFormat="false" ht="15" hidden="false" customHeight="false" outlineLevel="0" collapsed="false">
      <c r="A26" s="26" t="s">
        <v>396</v>
      </c>
      <c r="B26" s="27" t="s">
        <v>385</v>
      </c>
      <c r="C26" s="27" t="s">
        <v>397</v>
      </c>
      <c r="D26" s="28" t="n">
        <v>1</v>
      </c>
      <c r="E26" s="28" t="n">
        <v>1</v>
      </c>
      <c r="F26" s="28" t="n">
        <v>15</v>
      </c>
      <c r="G26" s="28" t="n">
        <v>5</v>
      </c>
      <c r="H26" s="29" t="n">
        <f aca="false">(F26+G26)*E26</f>
        <v>20</v>
      </c>
      <c r="I26" s="30" t="s">
        <v>347</v>
      </c>
      <c r="J26" s="27" t="s">
        <v>398</v>
      </c>
    </row>
    <row r="27" customFormat="false" ht="15" hidden="false" customHeight="false" outlineLevel="0" collapsed="false">
      <c r="A27" s="26" t="s">
        <v>399</v>
      </c>
      <c r="B27" s="27" t="s">
        <v>400</v>
      </c>
      <c r="C27" s="27" t="s">
        <v>401</v>
      </c>
      <c r="D27" s="28" t="n">
        <v>1</v>
      </c>
      <c r="E27" s="28" t="n">
        <v>1</v>
      </c>
      <c r="F27" s="28" t="n">
        <v>30</v>
      </c>
      <c r="G27" s="28" t="n">
        <v>10</v>
      </c>
      <c r="H27" s="29" t="n">
        <f aca="false">(F27+G27)*E27</f>
        <v>40</v>
      </c>
      <c r="I27" s="30" t="s">
        <v>347</v>
      </c>
      <c r="J27" s="27" t="s">
        <v>398</v>
      </c>
    </row>
    <row r="28" customFormat="false" ht="15" hidden="false" customHeight="false" outlineLevel="0" collapsed="false">
      <c r="A28" s="26" t="s">
        <v>402</v>
      </c>
      <c r="B28" s="27" t="s">
        <v>403</v>
      </c>
      <c r="C28" s="27" t="s">
        <v>404</v>
      </c>
      <c r="D28" s="28" t="n">
        <v>1</v>
      </c>
      <c r="E28" s="28" t="n">
        <v>1</v>
      </c>
      <c r="F28" s="28" t="n">
        <v>12</v>
      </c>
      <c r="G28" s="28" t="n">
        <v>6</v>
      </c>
      <c r="H28" s="29" t="n">
        <f aca="false">(F28+G28)*E28</f>
        <v>18</v>
      </c>
      <c r="I28" s="30" t="s">
        <v>331</v>
      </c>
      <c r="J28" s="27" t="s">
        <v>340</v>
      </c>
    </row>
    <row r="29" customFormat="false" ht="15" hidden="false" customHeight="false" outlineLevel="0" collapsed="false">
      <c r="A29" s="26" t="s">
        <v>405</v>
      </c>
      <c r="B29" s="27" t="s">
        <v>403</v>
      </c>
      <c r="C29" s="27" t="s">
        <v>406</v>
      </c>
      <c r="D29" s="28" t="n">
        <v>1</v>
      </c>
      <c r="E29" s="28" t="n">
        <v>1</v>
      </c>
      <c r="F29" s="28" t="n">
        <v>12</v>
      </c>
      <c r="G29" s="28" t="n">
        <v>6</v>
      </c>
      <c r="H29" s="29" t="n">
        <f aca="false">(F29+G29)*E29</f>
        <v>18</v>
      </c>
      <c r="I29" s="30" t="s">
        <v>331</v>
      </c>
      <c r="J29" s="27" t="s">
        <v>343</v>
      </c>
    </row>
    <row r="30" customFormat="false" ht="15" hidden="false" customHeight="false" outlineLevel="0" collapsed="false">
      <c r="A30" s="31"/>
      <c r="B30" s="31"/>
      <c r="C30" s="32" t="s">
        <v>407</v>
      </c>
      <c r="D30" s="31"/>
      <c r="E30" s="32" t="n">
        <f aca="false">SUM(E5:E29)</f>
        <v>28</v>
      </c>
      <c r="F30" s="31"/>
      <c r="G30" s="31"/>
      <c r="H30" s="33" t="n">
        <f aca="false">SUM(H5:H29)</f>
        <v>565</v>
      </c>
      <c r="I30" s="31"/>
      <c r="J30" s="31"/>
    </row>
    <row r="33" customFormat="false" ht="15" hidden="false" customHeight="true" outlineLevel="0" collapsed="false">
      <c r="A33" s="4" t="s">
        <v>408</v>
      </c>
      <c r="B33" s="4"/>
      <c r="C33" s="4"/>
      <c r="D33" s="4"/>
      <c r="E33" s="4"/>
      <c r="F33" s="4"/>
      <c r="G33" s="4"/>
      <c r="H33" s="4"/>
      <c r="I33" s="4"/>
      <c r="J33" s="4"/>
    </row>
    <row r="34" customFormat="false" ht="30" hidden="false" customHeight="true" outlineLevel="0" collapsed="false">
      <c r="B34" s="3" t="s">
        <v>409</v>
      </c>
      <c r="C34" s="11" t="s">
        <v>410</v>
      </c>
      <c r="D34" s="11"/>
      <c r="E34" s="11"/>
      <c r="F34" s="11"/>
      <c r="G34" s="11"/>
      <c r="H34" s="11"/>
      <c r="I34" s="11"/>
      <c r="J34" s="11"/>
    </row>
    <row r="35" customFormat="false" ht="30" hidden="false" customHeight="true" outlineLevel="0" collapsed="false">
      <c r="B35" s="3" t="s">
        <v>411</v>
      </c>
      <c r="C35" s="11" t="s">
        <v>412</v>
      </c>
      <c r="D35" s="11"/>
      <c r="E35" s="11"/>
      <c r="F35" s="11"/>
      <c r="G35" s="11"/>
      <c r="H35" s="11"/>
      <c r="I35" s="11"/>
      <c r="J35" s="11"/>
    </row>
    <row r="36" customFormat="false" ht="30" hidden="false" customHeight="true" outlineLevel="0" collapsed="false">
      <c r="B36" s="3" t="s">
        <v>413</v>
      </c>
      <c r="C36" s="11" t="s">
        <v>414</v>
      </c>
      <c r="D36" s="11"/>
      <c r="E36" s="11"/>
      <c r="F36" s="11"/>
      <c r="G36" s="11"/>
      <c r="H36" s="11"/>
      <c r="I36" s="11"/>
      <c r="J36" s="11"/>
    </row>
    <row r="37" customFormat="false" ht="30" hidden="false" customHeight="true" outlineLevel="0" collapsed="false">
      <c r="B37" s="3" t="s">
        <v>415</v>
      </c>
      <c r="C37" s="11" t="s">
        <v>416</v>
      </c>
      <c r="D37" s="11"/>
      <c r="E37" s="11"/>
      <c r="F37" s="11"/>
      <c r="G37" s="11"/>
      <c r="H37" s="11"/>
      <c r="I37" s="11"/>
      <c r="J37" s="11"/>
    </row>
    <row r="38" customFormat="false" ht="30" hidden="false" customHeight="true" outlineLevel="0" collapsed="false">
      <c r="B38" s="3" t="s">
        <v>417</v>
      </c>
      <c r="C38" s="11" t="s">
        <v>418</v>
      </c>
      <c r="D38" s="11"/>
      <c r="E38" s="11"/>
      <c r="F38" s="11"/>
      <c r="G38" s="11"/>
      <c r="H38" s="11"/>
      <c r="I38" s="11"/>
      <c r="J38" s="11"/>
    </row>
    <row r="40" customFormat="false" ht="15" hidden="false" customHeight="true" outlineLevel="0" collapsed="false">
      <c r="A40" s="4" t="s">
        <v>419</v>
      </c>
      <c r="B40" s="4"/>
      <c r="C40" s="4"/>
      <c r="D40" s="4"/>
      <c r="E40" s="4"/>
      <c r="F40" s="4"/>
      <c r="G40" s="4"/>
      <c r="H40" s="4"/>
      <c r="I40" s="4"/>
      <c r="J40" s="4"/>
    </row>
    <row r="41" customFormat="false" ht="30" hidden="false" customHeight="true" outlineLevel="0" collapsed="false">
      <c r="B41" s="3" t="s">
        <v>420</v>
      </c>
      <c r="C41" s="11" t="s">
        <v>421</v>
      </c>
      <c r="D41" s="11"/>
      <c r="E41" s="11"/>
      <c r="F41" s="11"/>
      <c r="G41" s="11"/>
      <c r="H41" s="11"/>
      <c r="I41" s="11"/>
      <c r="J41" s="11"/>
    </row>
    <row r="42" customFormat="false" ht="30" hidden="false" customHeight="true" outlineLevel="0" collapsed="false">
      <c r="B42" s="3" t="s">
        <v>422</v>
      </c>
      <c r="C42" s="11" t="s">
        <v>423</v>
      </c>
      <c r="D42" s="11"/>
      <c r="E42" s="11"/>
      <c r="F42" s="11"/>
      <c r="G42" s="11"/>
      <c r="H42" s="11"/>
      <c r="I42" s="11"/>
      <c r="J42" s="11"/>
    </row>
    <row r="43" customFormat="false" ht="30" hidden="false" customHeight="true" outlineLevel="0" collapsed="false">
      <c r="B43" s="3" t="s">
        <v>424</v>
      </c>
      <c r="C43" s="11" t="s">
        <v>425</v>
      </c>
      <c r="D43" s="11"/>
      <c r="E43" s="11"/>
      <c r="F43" s="11"/>
      <c r="G43" s="11"/>
      <c r="H43" s="11"/>
      <c r="I43" s="11"/>
      <c r="J43" s="11"/>
    </row>
    <row r="44" customFormat="false" ht="30" hidden="false" customHeight="true" outlineLevel="0" collapsed="false">
      <c r="B44" s="3" t="s">
        <v>426</v>
      </c>
      <c r="C44" s="11" t="s">
        <v>427</v>
      </c>
      <c r="D44" s="11"/>
      <c r="E44" s="11"/>
      <c r="F44" s="11"/>
      <c r="G44" s="11"/>
      <c r="H44" s="11"/>
      <c r="I44" s="11"/>
      <c r="J44" s="11"/>
    </row>
    <row r="45" customFormat="false" ht="30" hidden="false" customHeight="true" outlineLevel="0" collapsed="false">
      <c r="B45" s="3" t="s">
        <v>428</v>
      </c>
      <c r="C45" s="11" t="s">
        <v>429</v>
      </c>
      <c r="D45" s="11"/>
      <c r="E45" s="11"/>
      <c r="F45" s="11"/>
      <c r="G45" s="11"/>
      <c r="H45" s="11"/>
      <c r="I45" s="11"/>
      <c r="J45" s="11"/>
    </row>
    <row r="46" customFormat="false" ht="30" hidden="false" customHeight="true" outlineLevel="0" collapsed="false">
      <c r="B46" s="3" t="s">
        <v>430</v>
      </c>
      <c r="C46" s="11" t="s">
        <v>431</v>
      </c>
      <c r="D46" s="11"/>
      <c r="E46" s="11"/>
      <c r="F46" s="11"/>
      <c r="G46" s="11"/>
      <c r="H46" s="11"/>
      <c r="I46" s="11"/>
      <c r="J46" s="11"/>
    </row>
    <row r="48" customFormat="false" ht="15" hidden="false" customHeight="true" outlineLevel="0" collapsed="false">
      <c r="A48" s="4" t="s">
        <v>432</v>
      </c>
      <c r="B48" s="4"/>
      <c r="C48" s="4"/>
      <c r="D48" s="4"/>
      <c r="E48" s="4"/>
      <c r="F48" s="4"/>
      <c r="G48" s="4"/>
      <c r="H48" s="4"/>
      <c r="I48" s="4"/>
      <c r="J48" s="4"/>
    </row>
    <row r="49" customFormat="false" ht="15" hidden="false" customHeight="false" outlineLevel="0" collapsed="false">
      <c r="B49" s="12" t="s">
        <v>319</v>
      </c>
      <c r="C49" s="12" t="s">
        <v>433</v>
      </c>
      <c r="D49" s="12" t="s">
        <v>434</v>
      </c>
      <c r="E49" s="12" t="s">
        <v>435</v>
      </c>
      <c r="F49" s="12" t="s">
        <v>436</v>
      </c>
      <c r="G49" s="12" t="s">
        <v>437</v>
      </c>
      <c r="H49" s="12"/>
      <c r="I49" s="12"/>
      <c r="J49" s="12"/>
    </row>
    <row r="50" customFormat="false" ht="15" hidden="false" customHeight="true" outlineLevel="0" collapsed="false">
      <c r="B50" s="26" t="s">
        <v>329</v>
      </c>
      <c r="C50" s="30" t="s">
        <v>328</v>
      </c>
      <c r="D50" s="30" t="s">
        <v>438</v>
      </c>
      <c r="E50" s="30" t="s">
        <v>439</v>
      </c>
      <c r="F50" s="30" t="s">
        <v>440</v>
      </c>
      <c r="G50" s="34" t="s">
        <v>441</v>
      </c>
      <c r="H50" s="34"/>
      <c r="I50" s="34"/>
      <c r="J50" s="34"/>
    </row>
    <row r="51" customFormat="false" ht="23.85" hidden="false" customHeight="true" outlineLevel="0" collapsed="false">
      <c r="B51" s="26" t="s">
        <v>442</v>
      </c>
      <c r="C51" s="30" t="s">
        <v>443</v>
      </c>
      <c r="D51" s="30" t="s">
        <v>444</v>
      </c>
      <c r="E51" s="30" t="s">
        <v>445</v>
      </c>
      <c r="F51" s="30" t="s">
        <v>446</v>
      </c>
      <c r="G51" s="34" t="s">
        <v>447</v>
      </c>
      <c r="H51" s="34"/>
      <c r="I51" s="34"/>
      <c r="J51" s="34"/>
    </row>
    <row r="52" customFormat="false" ht="23.85" hidden="false" customHeight="true" outlineLevel="0" collapsed="false">
      <c r="B52" s="26" t="s">
        <v>448</v>
      </c>
      <c r="C52" s="30" t="s">
        <v>449</v>
      </c>
      <c r="D52" s="30" t="s">
        <v>450</v>
      </c>
      <c r="E52" s="30" t="s">
        <v>451</v>
      </c>
      <c r="F52" s="30" t="s">
        <v>446</v>
      </c>
      <c r="G52" s="34" t="s">
        <v>452</v>
      </c>
      <c r="H52" s="34"/>
      <c r="I52" s="34"/>
      <c r="J52" s="34"/>
    </row>
    <row r="53" customFormat="false" ht="15" hidden="false" customHeight="true" outlineLevel="0" collapsed="false">
      <c r="B53" s="26" t="s">
        <v>356</v>
      </c>
      <c r="C53" s="30" t="s">
        <v>453</v>
      </c>
      <c r="D53" s="30" t="s">
        <v>454</v>
      </c>
      <c r="E53" s="30" t="s">
        <v>455</v>
      </c>
      <c r="F53" s="30" t="s">
        <v>440</v>
      </c>
      <c r="G53" s="34" t="s">
        <v>456</v>
      </c>
      <c r="H53" s="34"/>
      <c r="I53" s="34"/>
      <c r="J53" s="34"/>
    </row>
    <row r="54" customFormat="false" ht="23.85" hidden="false" customHeight="true" outlineLevel="0" collapsed="false">
      <c r="B54" s="26" t="s">
        <v>362</v>
      </c>
      <c r="C54" s="30" t="s">
        <v>457</v>
      </c>
      <c r="D54" s="30" t="s">
        <v>454</v>
      </c>
      <c r="E54" s="30" t="s">
        <v>458</v>
      </c>
      <c r="F54" s="30" t="s">
        <v>440</v>
      </c>
      <c r="G54" s="34" t="s">
        <v>459</v>
      </c>
      <c r="H54" s="34"/>
      <c r="I54" s="34"/>
      <c r="J54" s="34"/>
    </row>
    <row r="55" customFormat="false" ht="15" hidden="false" customHeight="true" outlineLevel="0" collapsed="false">
      <c r="B55" s="26" t="s">
        <v>374</v>
      </c>
      <c r="C55" s="30" t="s">
        <v>460</v>
      </c>
      <c r="D55" s="30" t="s">
        <v>454</v>
      </c>
      <c r="E55" s="30" t="s">
        <v>461</v>
      </c>
      <c r="F55" s="30" t="s">
        <v>440</v>
      </c>
      <c r="G55" s="34" t="s">
        <v>462</v>
      </c>
      <c r="H55" s="34"/>
      <c r="I55" s="34"/>
      <c r="J55" s="34"/>
    </row>
    <row r="56" customFormat="false" ht="15" hidden="false" customHeight="true" outlineLevel="0" collapsed="false">
      <c r="B56" s="26" t="s">
        <v>379</v>
      </c>
      <c r="C56" s="30" t="s">
        <v>463</v>
      </c>
      <c r="D56" s="30" t="s">
        <v>450</v>
      </c>
      <c r="E56" s="30" t="s">
        <v>464</v>
      </c>
      <c r="F56" s="30" t="s">
        <v>446</v>
      </c>
      <c r="G56" s="34" t="s">
        <v>465</v>
      </c>
      <c r="H56" s="34"/>
      <c r="I56" s="34"/>
      <c r="J56" s="34"/>
    </row>
    <row r="57" customFormat="false" ht="15" hidden="false" customHeight="true" outlineLevel="0" collapsed="false">
      <c r="B57" s="26" t="s">
        <v>385</v>
      </c>
      <c r="C57" s="30" t="s">
        <v>466</v>
      </c>
      <c r="D57" s="30" t="s">
        <v>438</v>
      </c>
      <c r="E57" s="30" t="s">
        <v>439</v>
      </c>
      <c r="F57" s="30" t="s">
        <v>440</v>
      </c>
      <c r="G57" s="34" t="s">
        <v>467</v>
      </c>
      <c r="H57" s="34"/>
      <c r="I57" s="34"/>
      <c r="J57" s="34"/>
    </row>
    <row r="58" customFormat="false" ht="15" hidden="false" customHeight="true" outlineLevel="0" collapsed="false">
      <c r="B58" s="26" t="s">
        <v>400</v>
      </c>
      <c r="C58" s="30" t="s">
        <v>399</v>
      </c>
      <c r="D58" s="30" t="s">
        <v>468</v>
      </c>
      <c r="E58" s="30" t="s">
        <v>469</v>
      </c>
      <c r="F58" s="30" t="s">
        <v>440</v>
      </c>
      <c r="G58" s="34" t="s">
        <v>470</v>
      </c>
      <c r="H58" s="34"/>
      <c r="I58" s="34"/>
      <c r="J58" s="34"/>
    </row>
    <row r="60" customFormat="false" ht="15" hidden="false" customHeight="true" outlineLevel="0" collapsed="false">
      <c r="A60" s="4" t="s">
        <v>471</v>
      </c>
      <c r="B60" s="4"/>
      <c r="C60" s="4"/>
      <c r="D60" s="4"/>
      <c r="E60" s="4"/>
      <c r="F60" s="4"/>
      <c r="G60" s="4"/>
      <c r="H60" s="4"/>
      <c r="I60" s="4"/>
      <c r="J60" s="4"/>
    </row>
    <row r="61" customFormat="false" ht="15" hidden="false" customHeight="true" outlineLevel="0" collapsed="false">
      <c r="B61" s="26" t="s">
        <v>472</v>
      </c>
      <c r="C61" s="35" t="n">
        <f aca="false">SUMPRODUCT(F5:F50,E5:E50)</f>
        <v>408</v>
      </c>
      <c r="D61" s="36" t="s">
        <v>473</v>
      </c>
      <c r="E61" s="36"/>
      <c r="F61" s="36"/>
      <c r="G61" s="36"/>
      <c r="H61" s="36"/>
      <c r="I61" s="36"/>
      <c r="J61" s="36"/>
    </row>
    <row r="62" customFormat="false" ht="15" hidden="false" customHeight="true" outlineLevel="0" collapsed="false">
      <c r="B62" s="26" t="s">
        <v>474</v>
      </c>
      <c r="C62" s="35" t="n">
        <f aca="false">SUMPRODUCT(G5:G50,E5:E50)</f>
        <v>157</v>
      </c>
      <c r="D62" s="36" t="s">
        <v>475</v>
      </c>
      <c r="E62" s="36"/>
      <c r="F62" s="36"/>
      <c r="G62" s="36"/>
      <c r="H62" s="36"/>
      <c r="I62" s="36"/>
      <c r="J62" s="36"/>
    </row>
    <row r="63" customFormat="false" ht="15" hidden="false" customHeight="true" outlineLevel="0" collapsed="false">
      <c r="B63" s="26" t="s">
        <v>476</v>
      </c>
      <c r="C63" s="35" t="n">
        <f aca="false">SUM(H5:H50)</f>
        <v>1130</v>
      </c>
      <c r="D63" s="36" t="s">
        <v>477</v>
      </c>
      <c r="E63" s="36"/>
      <c r="F63" s="36"/>
      <c r="G63" s="36"/>
      <c r="H63" s="36"/>
      <c r="I63" s="36"/>
      <c r="J63" s="36"/>
    </row>
    <row r="64" customFormat="false" ht="15" hidden="false" customHeight="true" outlineLevel="0" collapsed="false">
      <c r="B64" s="26" t="s">
        <v>478</v>
      </c>
      <c r="C64" s="37" t="n">
        <f aca="false">SUMPRODUCT(F5:F50,E5:E50)/SUM(H5:H50)</f>
        <v>0.361061946902655</v>
      </c>
      <c r="D64" s="36" t="s">
        <v>479</v>
      </c>
      <c r="E64" s="36"/>
      <c r="F64" s="36"/>
      <c r="G64" s="36"/>
      <c r="H64" s="36"/>
      <c r="I64" s="36"/>
      <c r="J64" s="36"/>
    </row>
    <row r="65" customFormat="false" ht="15" hidden="false" customHeight="true" outlineLevel="0" collapsed="false">
      <c r="B65" s="26" t="s">
        <v>480</v>
      </c>
      <c r="C65" s="38" t="n">
        <v>60</v>
      </c>
      <c r="D65" s="36" t="s">
        <v>481</v>
      </c>
      <c r="E65" s="36"/>
      <c r="F65" s="36"/>
      <c r="G65" s="36"/>
      <c r="H65" s="36"/>
      <c r="I65" s="36"/>
      <c r="J65" s="36"/>
    </row>
    <row r="66" customFormat="false" ht="15" hidden="false" customHeight="true" outlineLevel="0" collapsed="false">
      <c r="B66" s="26" t="s">
        <v>417</v>
      </c>
      <c r="C66" s="38" t="n">
        <v>10</v>
      </c>
      <c r="D66" s="36" t="s">
        <v>482</v>
      </c>
      <c r="E66" s="36"/>
      <c r="F66" s="36"/>
      <c r="G66" s="36"/>
      <c r="H66" s="36"/>
      <c r="I66" s="36"/>
      <c r="J66" s="36"/>
    </row>
  </sheetData>
  <mergeCells count="32">
    <mergeCell ref="A1:J1"/>
    <mergeCell ref="A2:J2"/>
    <mergeCell ref="A33:J33"/>
    <mergeCell ref="C34:J34"/>
    <mergeCell ref="C35:J35"/>
    <mergeCell ref="C36:J36"/>
    <mergeCell ref="C37:J37"/>
    <mergeCell ref="C38:J38"/>
    <mergeCell ref="A40:J40"/>
    <mergeCell ref="C41:J41"/>
    <mergeCell ref="C42:J42"/>
    <mergeCell ref="C43:J43"/>
    <mergeCell ref="C44:J44"/>
    <mergeCell ref="C45:J45"/>
    <mergeCell ref="C46:J46"/>
    <mergeCell ref="A48:J48"/>
    <mergeCell ref="G50:J50"/>
    <mergeCell ref="G51:J51"/>
    <mergeCell ref="G52:J52"/>
    <mergeCell ref="G53:J53"/>
    <mergeCell ref="G54:J54"/>
    <mergeCell ref="G55:J55"/>
    <mergeCell ref="G56:J56"/>
    <mergeCell ref="G57:J57"/>
    <mergeCell ref="G58:J58"/>
    <mergeCell ref="A60:J60"/>
    <mergeCell ref="D61:J61"/>
    <mergeCell ref="D62:J62"/>
    <mergeCell ref="D63:J63"/>
    <mergeCell ref="D64:J64"/>
    <mergeCell ref="D65:J65"/>
    <mergeCell ref="D66:J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8" min="3" style="0" width="10"/>
    <col collapsed="false" customWidth="true" hidden="false" outlineLevel="0" max="11" min="9" style="0" width="14"/>
    <col collapsed="false" customWidth="true" hidden="false" outlineLevel="0" max="14" min="12" style="0" width="12"/>
  </cols>
  <sheetData>
    <row r="1" customFormat="false" ht="25.5" hidden="false" customHeight="true" outlineLevel="0" collapsed="false">
      <c r="A1" s="25" t="s">
        <v>483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customFormat="false" ht="15" hidden="false" customHeight="false" outlineLevel="0" collapsed="false">
      <c r="A2" s="2" t="s">
        <v>484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true" outlineLevel="0" collapsed="false">
      <c r="A4" s="4" t="s">
        <v>485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customFormat="false" ht="23.85" hidden="false" customHeight="false" outlineLevel="0" collapsed="false">
      <c r="A5" s="12" t="s">
        <v>318</v>
      </c>
      <c r="B5" s="12" t="s">
        <v>319</v>
      </c>
      <c r="C5" s="12" t="s">
        <v>486</v>
      </c>
      <c r="D5" s="12" t="s">
        <v>487</v>
      </c>
      <c r="E5" s="12" t="s">
        <v>488</v>
      </c>
      <c r="F5" s="12" t="s">
        <v>489</v>
      </c>
      <c r="G5" s="12" t="s">
        <v>490</v>
      </c>
      <c r="H5" s="12" t="s">
        <v>491</v>
      </c>
      <c r="I5" s="12" t="s">
        <v>492</v>
      </c>
      <c r="J5" s="12" t="s">
        <v>493</v>
      </c>
      <c r="K5" s="12" t="s">
        <v>494</v>
      </c>
    </row>
    <row r="6" customFormat="false" ht="15" hidden="false" customHeight="false" outlineLevel="0" collapsed="false">
      <c r="A6" s="26" t="s">
        <v>328</v>
      </c>
      <c r="B6" s="39" t="str">
        <f aca="false">VLOOKUP(A6,ACTIVIDADES!$A$5:$B$50,2,FALSE())</f>
        <v>F1 · Concepto NEB</v>
      </c>
      <c r="C6" s="28" t="n">
        <v>2</v>
      </c>
      <c r="D6" s="28" t="n">
        <v>2</v>
      </c>
      <c r="E6" s="28" t="n">
        <v>1</v>
      </c>
      <c r="F6" s="28" t="n">
        <v>1</v>
      </c>
      <c r="G6" s="28" t="n">
        <v>2</v>
      </c>
      <c r="H6" s="28" t="n">
        <v>0</v>
      </c>
      <c r="I6" s="40" t="n">
        <f aca="false">C6*gp1_ss+E6*gp5_ss</f>
        <v>68.43</v>
      </c>
      <c r="J6" s="40" t="n">
        <f aca="false">D6*gp1_ss+F6*gp5_ss</f>
        <v>68.43</v>
      </c>
      <c r="K6" s="41" t="n">
        <f aca="false">I6+J6</f>
        <v>136.86</v>
      </c>
    </row>
    <row r="7" customFormat="false" ht="15" hidden="false" customHeight="false" outlineLevel="0" collapsed="false">
      <c r="A7" s="26" t="s">
        <v>333</v>
      </c>
      <c r="B7" s="39" t="str">
        <f aca="false">VLOOKUP(A7,ACTIVIDADES!$A$5:$B$50,2,FALSE())</f>
        <v>F2 · CUE+SIG</v>
      </c>
      <c r="C7" s="28" t="n">
        <v>33</v>
      </c>
      <c r="D7" s="28" t="n">
        <v>7</v>
      </c>
      <c r="E7" s="28" t="n">
        <v>7</v>
      </c>
      <c r="F7" s="28" t="n">
        <v>1</v>
      </c>
      <c r="G7" s="28" t="n">
        <v>6</v>
      </c>
      <c r="H7" s="28" t="n">
        <v>0</v>
      </c>
      <c r="I7" s="40" t="n">
        <f aca="false">C7*gp1_ss+E7*gp5_ss</f>
        <v>1010.63</v>
      </c>
      <c r="J7" s="40" t="n">
        <f aca="false">D7*gp1_ss+F7*gp5_ss</f>
        <v>208.33</v>
      </c>
      <c r="K7" s="41" t="n">
        <f aca="false">I7+J7</f>
        <v>1218.96</v>
      </c>
    </row>
    <row r="8" customFormat="false" ht="15" hidden="false" customHeight="false" outlineLevel="0" collapsed="false">
      <c r="A8" s="26" t="s">
        <v>338</v>
      </c>
      <c r="B8" s="39" t="str">
        <f aca="false">VLOOKUP(A8,ACTIVIDADES!$A$5:$B$50,2,FALSE())</f>
        <v>F2 · CUE+SIG</v>
      </c>
      <c r="C8" s="28" t="n">
        <v>14</v>
      </c>
      <c r="D8" s="28" t="n">
        <v>2</v>
      </c>
      <c r="E8" s="28" t="n">
        <v>4</v>
      </c>
      <c r="F8" s="28" t="n">
        <v>0</v>
      </c>
      <c r="G8" s="28" t="n">
        <v>4</v>
      </c>
      <c r="H8" s="28" t="n">
        <v>0</v>
      </c>
      <c r="I8" s="40" t="n">
        <f aca="false">C8*gp1_ss+E8*gp5_ss</f>
        <v>441.6</v>
      </c>
      <c r="J8" s="40" t="n">
        <f aca="false">D8*gp1_ss+F8*gp5_ss</f>
        <v>55.96</v>
      </c>
      <c r="K8" s="41" t="n">
        <f aca="false">I8+J8</f>
        <v>497.56</v>
      </c>
    </row>
    <row r="9" customFormat="false" ht="15" hidden="false" customHeight="false" outlineLevel="0" collapsed="false">
      <c r="A9" s="26" t="s">
        <v>341</v>
      </c>
      <c r="B9" s="39" t="str">
        <f aca="false">VLOOKUP(A9,ACTIVIDADES!$A$5:$B$50,2,FALSE())</f>
        <v>F2 · CUE+SIG</v>
      </c>
      <c r="C9" s="28" t="n">
        <v>18</v>
      </c>
      <c r="D9" s="28" t="n">
        <v>4</v>
      </c>
      <c r="E9" s="28" t="n">
        <v>4</v>
      </c>
      <c r="F9" s="28" t="n">
        <v>0</v>
      </c>
      <c r="G9" s="28" t="n">
        <v>6</v>
      </c>
      <c r="H9" s="28" t="n">
        <v>0</v>
      </c>
      <c r="I9" s="40" t="n">
        <f aca="false">C9*gp1_ss+E9*gp5_ss</f>
        <v>553.52</v>
      </c>
      <c r="J9" s="40" t="n">
        <f aca="false">D9*gp1_ss+F9*gp5_ss</f>
        <v>111.92</v>
      </c>
      <c r="K9" s="41" t="n">
        <f aca="false">I9+J9</f>
        <v>665.44</v>
      </c>
    </row>
    <row r="10" customFormat="false" ht="15" hidden="false" customHeight="false" outlineLevel="0" collapsed="false">
      <c r="A10" s="26" t="s">
        <v>344</v>
      </c>
      <c r="B10" s="39" t="str">
        <f aca="false">VLOOKUP(A10,ACTIVIDADES!$A$5:$B$50,2,FALSE())</f>
        <v>F3 · IoT+riego</v>
      </c>
      <c r="C10" s="28" t="n">
        <v>30</v>
      </c>
      <c r="D10" s="28" t="n">
        <v>20</v>
      </c>
      <c r="E10" s="28" t="n">
        <v>12</v>
      </c>
      <c r="F10" s="28" t="n">
        <v>8</v>
      </c>
      <c r="G10" s="28" t="n">
        <v>10</v>
      </c>
      <c r="H10" s="28" t="n">
        <v>0</v>
      </c>
      <c r="I10" s="40" t="n">
        <f aca="false">C10*gp1_ss+E10*gp5_ss</f>
        <v>989.04</v>
      </c>
      <c r="J10" s="40" t="n">
        <f aca="false">D10*gp1_ss+F10*gp5_ss</f>
        <v>659.36</v>
      </c>
      <c r="K10" s="41" t="n">
        <f aca="false">I10+J10</f>
        <v>1648.4</v>
      </c>
    </row>
    <row r="11" customFormat="false" ht="15" hidden="false" customHeight="false" outlineLevel="0" collapsed="false">
      <c r="A11" s="26" t="s">
        <v>349</v>
      </c>
      <c r="B11" s="39" t="str">
        <f aca="false">VLOOKUP(A11,ACTIVIDADES!$A$5:$B$50,2,FALSE())</f>
        <v>F3 · IoT+riego</v>
      </c>
      <c r="C11" s="28" t="n">
        <v>12</v>
      </c>
      <c r="D11" s="28" t="n">
        <v>8</v>
      </c>
      <c r="E11" s="28" t="n">
        <v>5</v>
      </c>
      <c r="F11" s="28" t="n">
        <v>3</v>
      </c>
      <c r="G11" s="28" t="n">
        <v>4</v>
      </c>
      <c r="H11" s="28" t="n">
        <v>0</v>
      </c>
      <c r="I11" s="40" t="n">
        <f aca="false">C11*gp1_ss+E11*gp5_ss</f>
        <v>398.11</v>
      </c>
      <c r="J11" s="40" t="n">
        <f aca="false">D11*gp1_ss+F11*gp5_ss</f>
        <v>261.25</v>
      </c>
      <c r="K11" s="41" t="n">
        <f aca="false">I11+J11</f>
        <v>659.36</v>
      </c>
    </row>
    <row r="12" customFormat="false" ht="15" hidden="false" customHeight="false" outlineLevel="0" collapsed="false">
      <c r="A12" s="26" t="s">
        <v>352</v>
      </c>
      <c r="B12" s="39" t="str">
        <f aca="false">VLOOKUP(A12,ACTIVIDADES!$A$5:$B$50,2,FALSE())</f>
        <v>F3 · IoT+riego</v>
      </c>
      <c r="C12" s="28" t="n">
        <v>8</v>
      </c>
      <c r="D12" s="28" t="n">
        <v>4</v>
      </c>
      <c r="E12" s="28" t="n">
        <v>0</v>
      </c>
      <c r="F12" s="28" t="n">
        <v>0</v>
      </c>
      <c r="G12" s="28" t="n">
        <v>4</v>
      </c>
      <c r="H12" s="28" t="n">
        <v>0</v>
      </c>
      <c r="I12" s="40" t="n">
        <f aca="false">C12*gp1_ss+E12*gp5_ss</f>
        <v>223.84</v>
      </c>
      <c r="J12" s="40" t="n">
        <f aca="false">D12*gp1_ss+F12*gp5_ss</f>
        <v>111.92</v>
      </c>
      <c r="K12" s="41" t="n">
        <f aca="false">I12+J12</f>
        <v>335.76</v>
      </c>
    </row>
    <row r="13" customFormat="false" ht="15" hidden="false" customHeight="false" outlineLevel="0" collapsed="false">
      <c r="A13" s="26" t="s">
        <v>355</v>
      </c>
      <c r="B13" s="39" t="str">
        <f aca="false">VLOOKUP(A13,ACTIVIDADES!$A$5:$B$50,2,FALSE())</f>
        <v>F4 · Diseño digital</v>
      </c>
      <c r="C13" s="28" t="n">
        <v>4</v>
      </c>
      <c r="D13" s="28" t="n">
        <v>2</v>
      </c>
      <c r="E13" s="28" t="n">
        <v>0</v>
      </c>
      <c r="F13" s="28" t="n">
        <v>0</v>
      </c>
      <c r="G13" s="28" t="n">
        <v>2</v>
      </c>
      <c r="H13" s="28" t="n">
        <v>0</v>
      </c>
      <c r="I13" s="40" t="n">
        <f aca="false">C13*gp1_ss+E13*gp5_ss</f>
        <v>111.92</v>
      </c>
      <c r="J13" s="40" t="n">
        <f aca="false">D13*gp1_ss+F13*gp5_ss</f>
        <v>55.96</v>
      </c>
      <c r="K13" s="41" t="n">
        <f aca="false">I13+J13</f>
        <v>167.88</v>
      </c>
    </row>
    <row r="14" customFormat="false" ht="15" hidden="false" customHeight="false" outlineLevel="0" collapsed="false">
      <c r="A14" s="26" t="s">
        <v>359</v>
      </c>
      <c r="B14" s="39" t="str">
        <f aca="false">VLOOKUP(A14,ACTIVIDADES!$A$5:$B$50,2,FALSE())</f>
        <v>F4 · Diseño digital</v>
      </c>
      <c r="C14" s="28" t="n">
        <v>4</v>
      </c>
      <c r="D14" s="28" t="n">
        <v>2</v>
      </c>
      <c r="E14" s="28" t="n">
        <v>0</v>
      </c>
      <c r="F14" s="28" t="n">
        <v>0</v>
      </c>
      <c r="G14" s="28" t="n">
        <v>2</v>
      </c>
      <c r="H14" s="28" t="n">
        <v>0</v>
      </c>
      <c r="I14" s="40" t="n">
        <f aca="false">C14*gp1_ss+E14*gp5_ss</f>
        <v>111.92</v>
      </c>
      <c r="J14" s="40" t="n">
        <f aca="false">D14*gp1_ss+F14*gp5_ss</f>
        <v>55.96</v>
      </c>
      <c r="K14" s="41" t="n">
        <f aca="false">I14+J14</f>
        <v>167.88</v>
      </c>
    </row>
    <row r="15" customFormat="false" ht="15" hidden="false" customHeight="false" outlineLevel="0" collapsed="false">
      <c r="A15" s="26" t="s">
        <v>361</v>
      </c>
      <c r="B15" s="39" t="str">
        <f aca="false">VLOOKUP(A15,ACTIVIDADES!$A$5:$B$50,2,FALSE())</f>
        <v>F5 · Domo NEB</v>
      </c>
      <c r="C15" s="28" t="n">
        <v>10</v>
      </c>
      <c r="D15" s="28" t="n">
        <v>22</v>
      </c>
      <c r="E15" s="28" t="n">
        <v>30</v>
      </c>
      <c r="F15" s="28" t="n">
        <v>70</v>
      </c>
      <c r="G15" s="28" t="n">
        <v>28</v>
      </c>
      <c r="H15" s="28" t="n">
        <v>0</v>
      </c>
      <c r="I15" s="40" t="n">
        <f aca="false">C15*gp1_ss+E15*gp5_ss</f>
        <v>653.9</v>
      </c>
      <c r="J15" s="40" t="n">
        <f aca="false">D15*gp1_ss+F15*gp5_ss</f>
        <v>1488.46</v>
      </c>
      <c r="K15" s="41" t="n">
        <f aca="false">I15+J15</f>
        <v>2142.36</v>
      </c>
    </row>
    <row r="16" customFormat="false" ht="15" hidden="false" customHeight="false" outlineLevel="0" collapsed="false">
      <c r="A16" s="26" t="s">
        <v>365</v>
      </c>
      <c r="B16" s="39" t="str">
        <f aca="false">VLOOKUP(A16,ACTIVIDADES!$A$5:$B$50,2,FALSE())</f>
        <v>F5 · Domo NEB</v>
      </c>
      <c r="C16" s="28" t="n">
        <v>5</v>
      </c>
      <c r="D16" s="28" t="n">
        <v>11</v>
      </c>
      <c r="E16" s="28" t="n">
        <v>14</v>
      </c>
      <c r="F16" s="28" t="n">
        <v>34</v>
      </c>
      <c r="G16" s="28" t="n">
        <v>16</v>
      </c>
      <c r="H16" s="28" t="n">
        <v>0</v>
      </c>
      <c r="I16" s="40" t="n">
        <f aca="false">C16*gp1_ss+E16*gp5_ss</f>
        <v>314.48</v>
      </c>
      <c r="J16" s="40" t="n">
        <f aca="false">D16*gp1_ss+F16*gp5_ss</f>
        <v>731.76</v>
      </c>
      <c r="K16" s="41" t="n">
        <f aca="false">I16+J16</f>
        <v>1046.24</v>
      </c>
    </row>
    <row r="17" customFormat="false" ht="15" hidden="false" customHeight="false" outlineLevel="0" collapsed="false">
      <c r="A17" s="26" t="s">
        <v>367</v>
      </c>
      <c r="B17" s="39" t="str">
        <f aca="false">VLOOKUP(A17,ACTIVIDADES!$A$5:$B$50,2,FALSE())</f>
        <v>F5 · Domo NEB</v>
      </c>
      <c r="C17" s="28" t="n">
        <v>2</v>
      </c>
      <c r="D17" s="28" t="n">
        <v>6</v>
      </c>
      <c r="E17" s="28" t="n">
        <v>7</v>
      </c>
      <c r="F17" s="28" t="n">
        <v>17</v>
      </c>
      <c r="G17" s="28" t="n">
        <v>8</v>
      </c>
      <c r="H17" s="28" t="n">
        <v>0</v>
      </c>
      <c r="I17" s="40" t="n">
        <f aca="false">C17*gp1_ss+E17*gp5_ss</f>
        <v>143.25</v>
      </c>
      <c r="J17" s="40" t="n">
        <f aca="false">D17*gp1_ss+F17*gp5_ss</f>
        <v>379.87</v>
      </c>
      <c r="K17" s="41" t="n">
        <f aca="false">I17+J17</f>
        <v>523.12</v>
      </c>
    </row>
    <row r="18" customFormat="false" ht="15" hidden="false" customHeight="false" outlineLevel="0" collapsed="false">
      <c r="A18" s="26" t="s">
        <v>370</v>
      </c>
      <c r="B18" s="39" t="str">
        <f aca="false">VLOOKUP(A18,ACTIVIDADES!$A$5:$B$50,2,FALSE())</f>
        <v>F5 · Domo NEB</v>
      </c>
      <c r="C18" s="28" t="n">
        <v>1</v>
      </c>
      <c r="D18" s="28" t="n">
        <v>3</v>
      </c>
      <c r="E18" s="28" t="n">
        <v>5</v>
      </c>
      <c r="F18" s="28" t="n">
        <v>11</v>
      </c>
      <c r="G18" s="28" t="n">
        <v>4</v>
      </c>
      <c r="H18" s="28" t="n">
        <v>0</v>
      </c>
      <c r="I18" s="40" t="n">
        <f aca="false">C18*gp1_ss+E18*gp5_ss</f>
        <v>90.33</v>
      </c>
      <c r="J18" s="40" t="n">
        <f aca="false">D18*gp1_ss+F18*gp5_ss</f>
        <v>221.11</v>
      </c>
      <c r="K18" s="41" t="n">
        <f aca="false">I18+J18</f>
        <v>311.44</v>
      </c>
    </row>
    <row r="19" customFormat="false" ht="15" hidden="false" customHeight="false" outlineLevel="0" collapsed="false">
      <c r="A19" s="26" t="s">
        <v>373</v>
      </c>
      <c r="B19" s="39" t="str">
        <f aca="false">VLOOKUP(A19,ACTIVIDADES!$A$5:$B$50,2,FALSE())</f>
        <v>F6 · Equipamiento</v>
      </c>
      <c r="C19" s="28" t="n">
        <v>2</v>
      </c>
      <c r="D19" s="28" t="n">
        <v>2</v>
      </c>
      <c r="E19" s="28" t="n">
        <v>6</v>
      </c>
      <c r="F19" s="28" t="n">
        <v>10</v>
      </c>
      <c r="G19" s="28" t="n">
        <v>4</v>
      </c>
      <c r="H19" s="28" t="n">
        <v>0</v>
      </c>
      <c r="I19" s="40" t="n">
        <f aca="false">C19*gp1_ss+E19*gp5_ss</f>
        <v>130.78</v>
      </c>
      <c r="J19" s="40" t="n">
        <f aca="false">D19*gp1_ss+F19*gp5_ss</f>
        <v>180.66</v>
      </c>
      <c r="K19" s="41" t="n">
        <f aca="false">I19+J19</f>
        <v>311.44</v>
      </c>
    </row>
    <row r="20" customFormat="false" ht="15" hidden="false" customHeight="false" outlineLevel="0" collapsed="false">
      <c r="A20" s="26" t="s">
        <v>376</v>
      </c>
      <c r="B20" s="39" t="str">
        <f aca="false">VLOOKUP(A20,ACTIVIDADES!$A$5:$B$50,2,FALSE())</f>
        <v>F6 · Equipamiento</v>
      </c>
      <c r="C20" s="28" t="n">
        <v>4</v>
      </c>
      <c r="D20" s="28" t="n">
        <v>4</v>
      </c>
      <c r="E20" s="28" t="n">
        <v>0</v>
      </c>
      <c r="F20" s="28" t="n">
        <v>0</v>
      </c>
      <c r="G20" s="28" t="n">
        <v>4</v>
      </c>
      <c r="H20" s="28" t="n">
        <v>0</v>
      </c>
      <c r="I20" s="40" t="n">
        <f aca="false">C20*gp1_ss+E20*gp5_ss</f>
        <v>111.92</v>
      </c>
      <c r="J20" s="40" t="n">
        <f aca="false">D20*gp1_ss+F20*gp5_ss</f>
        <v>111.92</v>
      </c>
      <c r="K20" s="41" t="n">
        <f aca="false">I20+J20</f>
        <v>223.84</v>
      </c>
    </row>
    <row r="21" customFormat="false" ht="15" hidden="false" customHeight="false" outlineLevel="0" collapsed="false">
      <c r="A21" s="26" t="s">
        <v>378</v>
      </c>
      <c r="B21" s="39" t="str">
        <f aca="false">VLOOKUP(A21,ACTIVIDADES!$A$5:$B$50,2,FALSE())</f>
        <v>F7 · Despliegue terreno</v>
      </c>
      <c r="C21" s="28" t="n">
        <v>14</v>
      </c>
      <c r="D21" s="28" t="n">
        <v>10</v>
      </c>
      <c r="E21" s="28" t="n">
        <v>5</v>
      </c>
      <c r="F21" s="28" t="n">
        <v>3</v>
      </c>
      <c r="G21" s="28" t="n">
        <v>8</v>
      </c>
      <c r="H21" s="28" t="n">
        <v>0</v>
      </c>
      <c r="I21" s="40" t="n">
        <f aca="false">C21*gp1_ss+E21*gp5_ss</f>
        <v>454.07</v>
      </c>
      <c r="J21" s="40" t="n">
        <f aca="false">D21*gp1_ss+F21*gp5_ss</f>
        <v>317.21</v>
      </c>
      <c r="K21" s="41" t="n">
        <f aca="false">I21+J21</f>
        <v>771.28</v>
      </c>
    </row>
    <row r="22" customFormat="false" ht="15" hidden="false" customHeight="false" outlineLevel="0" collapsed="false">
      <c r="A22" s="26" t="s">
        <v>381</v>
      </c>
      <c r="B22" s="39" t="str">
        <f aca="false">VLOOKUP(A22,ACTIVIDADES!$A$5:$B$50,2,FALSE())</f>
        <v>F7 · Despliegue terreno</v>
      </c>
      <c r="C22" s="28" t="n">
        <v>17</v>
      </c>
      <c r="D22" s="28" t="n">
        <v>7</v>
      </c>
      <c r="E22" s="28" t="n">
        <v>0</v>
      </c>
      <c r="F22" s="28" t="n">
        <v>0</v>
      </c>
      <c r="G22" s="28" t="n">
        <v>8</v>
      </c>
      <c r="H22" s="28" t="n">
        <v>0</v>
      </c>
      <c r="I22" s="40" t="n">
        <f aca="false">C22*gp1_ss+E22*gp5_ss</f>
        <v>475.66</v>
      </c>
      <c r="J22" s="40" t="n">
        <f aca="false">D22*gp1_ss+F22*gp5_ss</f>
        <v>195.86</v>
      </c>
      <c r="K22" s="41" t="n">
        <f aca="false">I22+J22</f>
        <v>671.52</v>
      </c>
    </row>
    <row r="23" customFormat="false" ht="15" hidden="false" customHeight="false" outlineLevel="0" collapsed="false">
      <c r="A23" s="26" t="s">
        <v>384</v>
      </c>
      <c r="B23" s="39" t="str">
        <f aca="false">VLOOKUP(A23,ACTIVIDADES!$A$5:$B$50,2,FALSE())</f>
        <v>F8 · Ciclo productivo</v>
      </c>
      <c r="C23" s="28" t="n">
        <v>2</v>
      </c>
      <c r="D23" s="28" t="n">
        <v>6</v>
      </c>
      <c r="E23" s="28" t="n">
        <v>5</v>
      </c>
      <c r="F23" s="28" t="n">
        <v>11</v>
      </c>
      <c r="G23" s="28" t="n">
        <v>8</v>
      </c>
      <c r="H23" s="28" t="n">
        <v>0</v>
      </c>
      <c r="I23" s="40" t="n">
        <f aca="false">C23*gp1_ss+E23*gp5_ss</f>
        <v>118.31</v>
      </c>
      <c r="J23" s="40" t="n">
        <f aca="false">D23*gp1_ss+F23*gp5_ss</f>
        <v>305.05</v>
      </c>
      <c r="K23" s="41" t="n">
        <f aca="false">I23+J23</f>
        <v>423.36</v>
      </c>
    </row>
    <row r="24" customFormat="false" ht="15" hidden="false" customHeight="false" outlineLevel="0" collapsed="false">
      <c r="A24" s="26" t="s">
        <v>387</v>
      </c>
      <c r="B24" s="39" t="str">
        <f aca="false">VLOOKUP(A24,ACTIVIDADES!$A$5:$B$50,2,FALSE())</f>
        <v>F8 · Ciclo productivo</v>
      </c>
      <c r="C24" s="28" t="n">
        <v>5</v>
      </c>
      <c r="D24" s="28" t="n">
        <v>11</v>
      </c>
      <c r="E24" s="28" t="n">
        <v>10</v>
      </c>
      <c r="F24" s="28" t="n">
        <v>22</v>
      </c>
      <c r="G24" s="28" t="n">
        <v>16</v>
      </c>
      <c r="H24" s="28" t="n">
        <v>0</v>
      </c>
      <c r="I24" s="40" t="n">
        <f aca="false">C24*gp1_ss+E24*gp5_ss</f>
        <v>264.6</v>
      </c>
      <c r="J24" s="40" t="n">
        <f aca="false">D24*gp1_ss+F24*gp5_ss</f>
        <v>582.12</v>
      </c>
      <c r="K24" s="41" t="n">
        <f aca="false">I24+J24</f>
        <v>846.72</v>
      </c>
    </row>
    <row r="25" customFormat="false" ht="15" hidden="false" customHeight="false" outlineLevel="0" collapsed="false">
      <c r="A25" s="26" t="s">
        <v>390</v>
      </c>
      <c r="B25" s="39" t="str">
        <f aca="false">VLOOKUP(A25,ACTIVIDADES!$A$5:$B$50,2,FALSE())</f>
        <v>F8 · Ciclo productivo</v>
      </c>
      <c r="C25" s="28" t="n">
        <v>2</v>
      </c>
      <c r="D25" s="28" t="n">
        <v>6</v>
      </c>
      <c r="E25" s="28" t="n">
        <v>5</v>
      </c>
      <c r="F25" s="28" t="n">
        <v>11</v>
      </c>
      <c r="G25" s="28" t="n">
        <v>8</v>
      </c>
      <c r="H25" s="28" t="n">
        <v>0</v>
      </c>
      <c r="I25" s="40" t="n">
        <f aca="false">C25*gp1_ss+E25*gp5_ss</f>
        <v>118.31</v>
      </c>
      <c r="J25" s="40" t="n">
        <f aca="false">D25*gp1_ss+F25*gp5_ss</f>
        <v>305.05</v>
      </c>
      <c r="K25" s="41" t="n">
        <f aca="false">I25+J25</f>
        <v>423.36</v>
      </c>
    </row>
    <row r="26" customFormat="false" ht="15" hidden="false" customHeight="false" outlineLevel="0" collapsed="false">
      <c r="A26" s="26" t="s">
        <v>393</v>
      </c>
      <c r="B26" s="39" t="str">
        <f aca="false">VLOOKUP(A26,ACTIVIDADES!$A$5:$B$50,2,FALSE())</f>
        <v>F8 · Ciclo productivo</v>
      </c>
      <c r="C26" s="28" t="n">
        <v>4</v>
      </c>
      <c r="D26" s="28" t="n">
        <v>8</v>
      </c>
      <c r="E26" s="28" t="n">
        <v>7</v>
      </c>
      <c r="F26" s="28" t="n">
        <v>17</v>
      </c>
      <c r="G26" s="28" t="n">
        <v>12</v>
      </c>
      <c r="H26" s="28" t="n">
        <v>0</v>
      </c>
      <c r="I26" s="40" t="n">
        <f aca="false">C26*gp1_ss+E26*gp5_ss</f>
        <v>199.21</v>
      </c>
      <c r="J26" s="40" t="n">
        <f aca="false">D26*gp1_ss+F26*gp5_ss</f>
        <v>435.83</v>
      </c>
      <c r="K26" s="41" t="n">
        <f aca="false">I26+J26</f>
        <v>635.04</v>
      </c>
    </row>
    <row r="27" customFormat="false" ht="15" hidden="false" customHeight="false" outlineLevel="0" collapsed="false">
      <c r="A27" s="26" t="s">
        <v>396</v>
      </c>
      <c r="B27" s="39" t="str">
        <f aca="false">VLOOKUP(A27,ACTIVIDADES!$A$5:$B$50,2,FALSE())</f>
        <v>F8 · Ciclo productivo</v>
      </c>
      <c r="C27" s="28" t="n">
        <v>5</v>
      </c>
      <c r="D27" s="28" t="n">
        <v>11</v>
      </c>
      <c r="E27" s="28" t="n">
        <v>10</v>
      </c>
      <c r="F27" s="28" t="n">
        <v>22</v>
      </c>
      <c r="G27" s="28" t="n">
        <v>16</v>
      </c>
      <c r="H27" s="28" t="n">
        <v>0</v>
      </c>
      <c r="I27" s="40" t="n">
        <f aca="false">C27*gp1_ss+E27*gp5_ss</f>
        <v>264.6</v>
      </c>
      <c r="J27" s="40" t="n">
        <f aca="false">D27*gp1_ss+F27*gp5_ss</f>
        <v>582.12</v>
      </c>
      <c r="K27" s="41" t="n">
        <f aca="false">I27+J27</f>
        <v>846.72</v>
      </c>
    </row>
    <row r="28" customFormat="false" ht="15" hidden="false" customHeight="false" outlineLevel="0" collapsed="false">
      <c r="A28" s="26" t="s">
        <v>399</v>
      </c>
      <c r="B28" s="39" t="str">
        <f aca="false">VLOOKUP(A28,ACTIVIDADES!$A$5:$B$50,2,FALSE())</f>
        <v>F9 · Cierre</v>
      </c>
      <c r="C28" s="28" t="n">
        <v>3</v>
      </c>
      <c r="D28" s="28" t="n">
        <v>3</v>
      </c>
      <c r="E28" s="28" t="n">
        <v>0</v>
      </c>
      <c r="F28" s="28" t="n">
        <v>0</v>
      </c>
      <c r="G28" s="28" t="n">
        <v>2</v>
      </c>
      <c r="H28" s="28" t="n">
        <v>0</v>
      </c>
      <c r="I28" s="40" t="n">
        <f aca="false">C28*gp1_ss+E28*gp5_ss</f>
        <v>83.94</v>
      </c>
      <c r="J28" s="40" t="n">
        <f aca="false">D28*gp1_ss+F28*gp5_ss</f>
        <v>83.94</v>
      </c>
      <c r="K28" s="41" t="n">
        <f aca="false">I28+J28</f>
        <v>167.88</v>
      </c>
    </row>
    <row r="29" customFormat="false" ht="15" hidden="false" customHeight="false" outlineLevel="0" collapsed="false">
      <c r="A29" s="26" t="s">
        <v>402</v>
      </c>
      <c r="B29" s="39" t="str">
        <f aca="false">VLOOKUP(A29,ACTIVIDADES!$A$5:$B$50,2,FALSE())</f>
        <v>F10 · Software open-source</v>
      </c>
      <c r="C29" s="28" t="n">
        <v>350</v>
      </c>
      <c r="D29" s="28" t="n">
        <v>0</v>
      </c>
      <c r="E29" s="28" t="n">
        <v>60</v>
      </c>
      <c r="F29" s="28" t="n">
        <v>0</v>
      </c>
      <c r="G29" s="28" t="n">
        <v>30</v>
      </c>
      <c r="H29" s="28" t="n">
        <v>0</v>
      </c>
      <c r="I29" s="40" t="n">
        <f aca="false">C29*gp1_ss+E29*gp5_ss</f>
        <v>10541.2</v>
      </c>
      <c r="J29" s="40" t="n">
        <f aca="false">D29*gp1_ss+F29*gp5_ss</f>
        <v>0</v>
      </c>
      <c r="K29" s="41" t="n">
        <f aca="false">I29+J29</f>
        <v>10541.2</v>
      </c>
    </row>
    <row r="30" customFormat="false" ht="15" hidden="false" customHeight="false" outlineLevel="0" collapsed="false">
      <c r="A30" s="26" t="s">
        <v>405</v>
      </c>
      <c r="B30" s="39" t="str">
        <f aca="false">VLOOKUP(A30,ACTIVIDADES!$A$5:$B$50,2,FALSE())</f>
        <v>F10 · Software open-source</v>
      </c>
      <c r="C30" s="28" t="n">
        <v>325</v>
      </c>
      <c r="D30" s="28" t="n">
        <v>0</v>
      </c>
      <c r="E30" s="28" t="n">
        <v>50</v>
      </c>
      <c r="F30" s="28" t="n">
        <v>0</v>
      </c>
      <c r="G30" s="28" t="n">
        <v>30</v>
      </c>
      <c r="H30" s="28" t="n">
        <v>0</v>
      </c>
      <c r="I30" s="40" t="n">
        <f aca="false">C30*gp1_ss+E30*gp5_ss</f>
        <v>9717</v>
      </c>
      <c r="J30" s="40" t="n">
        <f aca="false">D30*gp1_ss+F30*gp5_ss</f>
        <v>0</v>
      </c>
      <c r="K30" s="41" t="n">
        <f aca="false">I30+J30</f>
        <v>9717</v>
      </c>
    </row>
    <row r="31" customFormat="false" ht="15" hidden="false" customHeight="false" outlineLevel="0" collapsed="false">
      <c r="A31" s="31"/>
      <c r="B31" s="32" t="s">
        <v>495</v>
      </c>
      <c r="C31" s="42" t="n">
        <f aca="false">SUM(C6:C30)</f>
        <v>876</v>
      </c>
      <c r="D31" s="42" t="n">
        <f aca="false">SUM(D6:D30)</f>
        <v>161</v>
      </c>
      <c r="E31" s="42" t="n">
        <f aca="false">SUM(E6:E30)</f>
        <v>247</v>
      </c>
      <c r="F31" s="42" t="n">
        <f aca="false">SUM(F6:F30)</f>
        <v>241</v>
      </c>
      <c r="G31" s="42" t="n">
        <f aca="false">SUM(G6:G30)</f>
        <v>242</v>
      </c>
      <c r="H31" s="42" t="n">
        <f aca="false">SUM(H6:H30)</f>
        <v>0</v>
      </c>
      <c r="I31" s="43" t="n">
        <f aca="false">SUM(I6:I30)</f>
        <v>27590.57</v>
      </c>
      <c r="J31" s="43" t="n">
        <f aca="false">SUM(J6:J30)</f>
        <v>7510.05</v>
      </c>
      <c r="K31" s="43" t="n">
        <f aca="false">SUM(K6:K30)</f>
        <v>35100.62</v>
      </c>
    </row>
    <row r="34" customFormat="false" ht="15" hidden="false" customHeight="true" outlineLevel="0" collapsed="false">
      <c r="A34" s="4" t="s">
        <v>496</v>
      </c>
      <c r="B34" s="4"/>
      <c r="C34" s="4"/>
      <c r="D34" s="4"/>
      <c r="E34" s="4"/>
      <c r="F34" s="4"/>
      <c r="G34" s="4"/>
      <c r="H34" s="4"/>
      <c r="I34" s="4"/>
      <c r="J34" s="4"/>
      <c r="K34" s="4"/>
    </row>
    <row r="35" customFormat="false" ht="23.85" hidden="false" customHeight="false" outlineLevel="0" collapsed="false">
      <c r="A35" s="12" t="s">
        <v>318</v>
      </c>
      <c r="B35" s="12" t="s">
        <v>319</v>
      </c>
      <c r="C35" s="12" t="s">
        <v>497</v>
      </c>
      <c r="D35" s="12" t="s">
        <v>498</v>
      </c>
      <c r="E35" s="12" t="s">
        <v>499</v>
      </c>
      <c r="F35" s="12" t="s">
        <v>500</v>
      </c>
      <c r="G35" s="12" t="s">
        <v>501</v>
      </c>
      <c r="H35" s="12" t="s">
        <v>502</v>
      </c>
      <c r="I35" s="12" t="s">
        <v>492</v>
      </c>
      <c r="J35" s="12" t="s">
        <v>493</v>
      </c>
      <c r="K35" s="12" t="s">
        <v>494</v>
      </c>
    </row>
    <row r="36" customFormat="false" ht="15" hidden="false" customHeight="false" outlineLevel="0" collapsed="false">
      <c r="A36" s="26" t="s">
        <v>328</v>
      </c>
      <c r="B36" s="39" t="str">
        <f aca="false">VLOOKUP(A36,ACTIVIDADES!$A$5:$B$50,2,FALSE())</f>
        <v>F1 · Concepto NEB</v>
      </c>
      <c r="C36" s="28" t="n">
        <v>2</v>
      </c>
      <c r="D36" s="28" t="n">
        <v>4</v>
      </c>
      <c r="E36" s="28" t="n">
        <v>4</v>
      </c>
      <c r="F36" s="28" t="n">
        <v>5</v>
      </c>
      <c r="G36" s="44" t="n">
        <f aca="false">C36+E36</f>
        <v>6</v>
      </c>
      <c r="H36" s="44" t="n">
        <f aca="false">D36+F36</f>
        <v>9</v>
      </c>
      <c r="I36" s="40" t="n">
        <f aca="false">G36*gp1_ss</f>
        <v>167.88</v>
      </c>
      <c r="J36" s="40" t="n">
        <f aca="false">H36*gp1_ss</f>
        <v>251.82</v>
      </c>
      <c r="K36" s="41" t="n">
        <f aca="false">I36+J36</f>
        <v>419.7</v>
      </c>
    </row>
    <row r="37" customFormat="false" ht="15" hidden="false" customHeight="false" outlineLevel="0" collapsed="false">
      <c r="A37" s="26" t="s">
        <v>333</v>
      </c>
      <c r="B37" s="39" t="str">
        <f aca="false">VLOOKUP(A37,ACTIVIDADES!$A$5:$B$50,2,FALSE())</f>
        <v>F2 · CUE+SIG</v>
      </c>
      <c r="C37" s="28" t="n">
        <v>20</v>
      </c>
      <c r="D37" s="28" t="n">
        <v>4</v>
      </c>
      <c r="E37" s="28" t="n">
        <v>15</v>
      </c>
      <c r="F37" s="28" t="n">
        <v>3</v>
      </c>
      <c r="G37" s="44" t="n">
        <f aca="false">C37+E37</f>
        <v>35</v>
      </c>
      <c r="H37" s="44" t="n">
        <f aca="false">D37+F37</f>
        <v>7</v>
      </c>
      <c r="I37" s="40" t="n">
        <f aca="false">G37*gp1_ss</f>
        <v>979.3</v>
      </c>
      <c r="J37" s="40" t="n">
        <f aca="false">H37*gp1_ss</f>
        <v>195.86</v>
      </c>
      <c r="K37" s="41" t="n">
        <f aca="false">I37+J37</f>
        <v>1175.16</v>
      </c>
    </row>
    <row r="38" customFormat="false" ht="15" hidden="false" customHeight="false" outlineLevel="0" collapsed="false">
      <c r="A38" s="26" t="s">
        <v>338</v>
      </c>
      <c r="B38" s="39" t="str">
        <f aca="false">VLOOKUP(A38,ACTIVIDADES!$A$5:$B$50,2,FALSE())</f>
        <v>F2 · CUE+SIG</v>
      </c>
      <c r="C38" s="28" t="n">
        <v>5</v>
      </c>
      <c r="D38" s="28" t="n">
        <v>1</v>
      </c>
      <c r="E38" s="28" t="n">
        <v>8</v>
      </c>
      <c r="F38" s="28" t="n">
        <v>1</v>
      </c>
      <c r="G38" s="44" t="n">
        <f aca="false">C38+E38</f>
        <v>13</v>
      </c>
      <c r="H38" s="44" t="n">
        <f aca="false">D38+F38</f>
        <v>2</v>
      </c>
      <c r="I38" s="40" t="n">
        <f aca="false">G38*gp1_ss</f>
        <v>363.74</v>
      </c>
      <c r="J38" s="40" t="n">
        <f aca="false">H38*gp1_ss</f>
        <v>55.96</v>
      </c>
      <c r="K38" s="41" t="n">
        <f aca="false">I38+J38</f>
        <v>419.7</v>
      </c>
    </row>
    <row r="39" customFormat="false" ht="15" hidden="false" customHeight="false" outlineLevel="0" collapsed="false">
      <c r="A39" s="26" t="s">
        <v>341</v>
      </c>
      <c r="B39" s="39" t="str">
        <f aca="false">VLOOKUP(A39,ACTIVIDADES!$A$5:$B$50,2,FALSE())</f>
        <v>F2 · CUE+SIG</v>
      </c>
      <c r="C39" s="28" t="n">
        <v>10</v>
      </c>
      <c r="D39" s="28" t="n">
        <v>2</v>
      </c>
      <c r="E39" s="28" t="n">
        <v>15</v>
      </c>
      <c r="F39" s="28" t="n">
        <v>3</v>
      </c>
      <c r="G39" s="44" t="n">
        <f aca="false">C39+E39</f>
        <v>25</v>
      </c>
      <c r="H39" s="44" t="n">
        <f aca="false">D39+F39</f>
        <v>5</v>
      </c>
      <c r="I39" s="40" t="n">
        <f aca="false">G39*gp1_ss</f>
        <v>699.5</v>
      </c>
      <c r="J39" s="40" t="n">
        <f aca="false">H39*gp1_ss</f>
        <v>139.9</v>
      </c>
      <c r="K39" s="41" t="n">
        <f aca="false">I39+J39</f>
        <v>839.4</v>
      </c>
    </row>
    <row r="40" customFormat="false" ht="15" hidden="false" customHeight="false" outlineLevel="0" collapsed="false">
      <c r="A40" s="26" t="s">
        <v>344</v>
      </c>
      <c r="B40" s="39" t="str">
        <f aca="false">VLOOKUP(A40,ACTIVIDADES!$A$5:$B$50,2,FALSE())</f>
        <v>F3 · IoT+riego</v>
      </c>
      <c r="C40" s="28" t="n">
        <v>10</v>
      </c>
      <c r="D40" s="28" t="n">
        <v>2</v>
      </c>
      <c r="E40" s="28" t="n">
        <v>15</v>
      </c>
      <c r="F40" s="28" t="n">
        <v>3</v>
      </c>
      <c r="G40" s="44" t="n">
        <f aca="false">C40+E40</f>
        <v>25</v>
      </c>
      <c r="H40" s="44" t="n">
        <f aca="false">D40+F40</f>
        <v>5</v>
      </c>
      <c r="I40" s="40" t="n">
        <f aca="false">G40*gp1_ss</f>
        <v>699.5</v>
      </c>
      <c r="J40" s="40" t="n">
        <f aca="false">H40*gp1_ss</f>
        <v>139.9</v>
      </c>
      <c r="K40" s="41" t="n">
        <f aca="false">I40+J40</f>
        <v>839.4</v>
      </c>
    </row>
    <row r="41" customFormat="false" ht="15" hidden="false" customHeight="false" outlineLevel="0" collapsed="false">
      <c r="A41" s="26" t="s">
        <v>349</v>
      </c>
      <c r="B41" s="39" t="str">
        <f aca="false">VLOOKUP(A41,ACTIVIDADES!$A$5:$B$50,2,FALSE())</f>
        <v>F3 · IoT+riego</v>
      </c>
      <c r="C41" s="28" t="n">
        <v>10</v>
      </c>
      <c r="D41" s="28" t="n">
        <v>2</v>
      </c>
      <c r="E41" s="28" t="n">
        <v>8</v>
      </c>
      <c r="F41" s="28" t="n">
        <v>1</v>
      </c>
      <c r="G41" s="44" t="n">
        <f aca="false">C41+E41</f>
        <v>18</v>
      </c>
      <c r="H41" s="44" t="n">
        <f aca="false">D41+F41</f>
        <v>3</v>
      </c>
      <c r="I41" s="40" t="n">
        <f aca="false">G41*gp1_ss</f>
        <v>503.64</v>
      </c>
      <c r="J41" s="40" t="n">
        <f aca="false">H41*gp1_ss</f>
        <v>83.94</v>
      </c>
      <c r="K41" s="41" t="n">
        <f aca="false">I41+J41</f>
        <v>587.58</v>
      </c>
    </row>
    <row r="42" customFormat="false" ht="15" hidden="false" customHeight="false" outlineLevel="0" collapsed="false">
      <c r="A42" s="26" t="s">
        <v>352</v>
      </c>
      <c r="B42" s="39" t="str">
        <f aca="false">VLOOKUP(A42,ACTIVIDADES!$A$5:$B$50,2,FALSE())</f>
        <v>F3 · IoT+riego</v>
      </c>
      <c r="C42" s="28" t="n">
        <v>5</v>
      </c>
      <c r="D42" s="28" t="n">
        <v>1</v>
      </c>
      <c r="E42" s="28" t="n">
        <v>8</v>
      </c>
      <c r="F42" s="28" t="n">
        <v>1</v>
      </c>
      <c r="G42" s="44" t="n">
        <f aca="false">C42+E42</f>
        <v>13</v>
      </c>
      <c r="H42" s="44" t="n">
        <f aca="false">D42+F42</f>
        <v>2</v>
      </c>
      <c r="I42" s="40" t="n">
        <f aca="false">G42*gp1_ss</f>
        <v>363.74</v>
      </c>
      <c r="J42" s="40" t="n">
        <f aca="false">H42*gp1_ss</f>
        <v>55.96</v>
      </c>
      <c r="K42" s="41" t="n">
        <f aca="false">I42+J42</f>
        <v>419.7</v>
      </c>
    </row>
    <row r="43" customFormat="false" ht="15" hidden="false" customHeight="false" outlineLevel="0" collapsed="false">
      <c r="A43" s="26" t="s">
        <v>355</v>
      </c>
      <c r="B43" s="39" t="str">
        <f aca="false">VLOOKUP(A43,ACTIVIDADES!$A$5:$B$50,2,FALSE())</f>
        <v>F4 · Diseño digital</v>
      </c>
      <c r="C43" s="28" t="n">
        <v>10</v>
      </c>
      <c r="D43" s="28" t="n">
        <v>2</v>
      </c>
      <c r="E43" s="28" t="n">
        <v>15</v>
      </c>
      <c r="F43" s="28" t="n">
        <v>3</v>
      </c>
      <c r="G43" s="44" t="n">
        <f aca="false">C43+E43</f>
        <v>25</v>
      </c>
      <c r="H43" s="44" t="n">
        <f aca="false">D43+F43</f>
        <v>5</v>
      </c>
      <c r="I43" s="40" t="n">
        <f aca="false">G43*gp1_ss</f>
        <v>699.5</v>
      </c>
      <c r="J43" s="40" t="n">
        <f aca="false">H43*gp1_ss</f>
        <v>139.9</v>
      </c>
      <c r="K43" s="41" t="n">
        <f aca="false">I43+J43</f>
        <v>839.4</v>
      </c>
    </row>
    <row r="44" customFormat="false" ht="15" hidden="false" customHeight="false" outlineLevel="0" collapsed="false">
      <c r="A44" s="26" t="s">
        <v>359</v>
      </c>
      <c r="B44" s="39" t="str">
        <f aca="false">VLOOKUP(A44,ACTIVIDADES!$A$5:$B$50,2,FALSE())</f>
        <v>F4 · Diseño digital</v>
      </c>
      <c r="C44" s="28" t="n">
        <v>5</v>
      </c>
      <c r="D44" s="28" t="n">
        <v>1</v>
      </c>
      <c r="E44" s="28" t="n">
        <v>8</v>
      </c>
      <c r="F44" s="28" t="n">
        <v>1</v>
      </c>
      <c r="G44" s="44" t="n">
        <f aca="false">C44+E44</f>
        <v>13</v>
      </c>
      <c r="H44" s="44" t="n">
        <f aca="false">D44+F44</f>
        <v>2</v>
      </c>
      <c r="I44" s="40" t="n">
        <f aca="false">G44*gp1_ss</f>
        <v>363.74</v>
      </c>
      <c r="J44" s="40" t="n">
        <f aca="false">H44*gp1_ss</f>
        <v>55.96</v>
      </c>
      <c r="K44" s="41" t="n">
        <f aca="false">I44+J44</f>
        <v>419.7</v>
      </c>
    </row>
    <row r="45" customFormat="false" ht="15" hidden="false" customHeight="false" outlineLevel="0" collapsed="false">
      <c r="A45" s="26" t="s">
        <v>361</v>
      </c>
      <c r="B45" s="39" t="str">
        <f aca="false">VLOOKUP(A45,ACTIVIDADES!$A$5:$B$50,2,FALSE())</f>
        <v>F5 · Domo NEB</v>
      </c>
      <c r="C45" s="28" t="n">
        <v>6</v>
      </c>
      <c r="D45" s="28" t="n">
        <v>6</v>
      </c>
      <c r="E45" s="28" t="n">
        <v>9</v>
      </c>
      <c r="F45" s="28" t="n">
        <v>9</v>
      </c>
      <c r="G45" s="44" t="n">
        <f aca="false">C45+E45</f>
        <v>15</v>
      </c>
      <c r="H45" s="44" t="n">
        <f aca="false">D45+F45</f>
        <v>15</v>
      </c>
      <c r="I45" s="40" t="n">
        <f aca="false">G45*gp1_ss</f>
        <v>419.7</v>
      </c>
      <c r="J45" s="40" t="n">
        <f aca="false">H45*gp1_ss</f>
        <v>419.7</v>
      </c>
      <c r="K45" s="41" t="n">
        <f aca="false">I45+J45</f>
        <v>839.4</v>
      </c>
    </row>
    <row r="46" customFormat="false" ht="15" hidden="false" customHeight="false" outlineLevel="0" collapsed="false">
      <c r="A46" s="26" t="s">
        <v>365</v>
      </c>
      <c r="B46" s="39" t="str">
        <f aca="false">VLOOKUP(A46,ACTIVIDADES!$A$5:$B$50,2,FALSE())</f>
        <v>F5 · Domo NEB</v>
      </c>
      <c r="C46" s="28" t="n">
        <v>3</v>
      </c>
      <c r="D46" s="28" t="n">
        <v>3</v>
      </c>
      <c r="E46" s="28" t="n">
        <v>5</v>
      </c>
      <c r="F46" s="28" t="n">
        <v>4</v>
      </c>
      <c r="G46" s="44" t="n">
        <f aca="false">C46+E46</f>
        <v>8</v>
      </c>
      <c r="H46" s="44" t="n">
        <f aca="false">D46+F46</f>
        <v>7</v>
      </c>
      <c r="I46" s="40" t="n">
        <f aca="false">G46*gp1_ss</f>
        <v>223.84</v>
      </c>
      <c r="J46" s="40" t="n">
        <f aca="false">H46*gp1_ss</f>
        <v>195.86</v>
      </c>
      <c r="K46" s="41" t="n">
        <f aca="false">I46+J46</f>
        <v>419.7</v>
      </c>
    </row>
    <row r="47" customFormat="false" ht="15" hidden="false" customHeight="false" outlineLevel="0" collapsed="false">
      <c r="A47" s="26" t="s">
        <v>367</v>
      </c>
      <c r="B47" s="39" t="str">
        <f aca="false">VLOOKUP(A47,ACTIVIDADES!$A$5:$B$50,2,FALSE())</f>
        <v>F5 · Domo NEB</v>
      </c>
      <c r="C47" s="28" t="n">
        <v>6</v>
      </c>
      <c r="D47" s="28" t="n">
        <v>6</v>
      </c>
      <c r="E47" s="28" t="n">
        <v>9</v>
      </c>
      <c r="F47" s="28" t="n">
        <v>9</v>
      </c>
      <c r="G47" s="44" t="n">
        <f aca="false">C47+E47</f>
        <v>15</v>
      </c>
      <c r="H47" s="44" t="n">
        <f aca="false">D47+F47</f>
        <v>15</v>
      </c>
      <c r="I47" s="40" t="n">
        <f aca="false">G47*gp1_ss</f>
        <v>419.7</v>
      </c>
      <c r="J47" s="40" t="n">
        <f aca="false">H47*gp1_ss</f>
        <v>419.7</v>
      </c>
      <c r="K47" s="41" t="n">
        <f aca="false">I47+J47</f>
        <v>839.4</v>
      </c>
    </row>
    <row r="48" customFormat="false" ht="15" hidden="false" customHeight="false" outlineLevel="0" collapsed="false">
      <c r="A48" s="26" t="s">
        <v>370</v>
      </c>
      <c r="B48" s="39" t="str">
        <f aca="false">VLOOKUP(A48,ACTIVIDADES!$A$5:$B$50,2,FALSE())</f>
        <v>F5 · Domo NEB</v>
      </c>
      <c r="C48" s="28" t="n">
        <v>2</v>
      </c>
      <c r="D48" s="28" t="n">
        <v>4</v>
      </c>
      <c r="E48" s="28" t="n">
        <v>4</v>
      </c>
      <c r="F48" s="28" t="n">
        <v>5</v>
      </c>
      <c r="G48" s="44" t="n">
        <f aca="false">C48+E48</f>
        <v>6</v>
      </c>
      <c r="H48" s="44" t="n">
        <f aca="false">D48+F48</f>
        <v>9</v>
      </c>
      <c r="I48" s="40" t="n">
        <f aca="false">G48*gp1_ss</f>
        <v>167.88</v>
      </c>
      <c r="J48" s="40" t="n">
        <f aca="false">H48*gp1_ss</f>
        <v>251.82</v>
      </c>
      <c r="K48" s="41" t="n">
        <f aca="false">I48+J48</f>
        <v>419.7</v>
      </c>
    </row>
    <row r="49" customFormat="false" ht="15" hidden="false" customHeight="false" outlineLevel="0" collapsed="false">
      <c r="A49" s="26" t="s">
        <v>373</v>
      </c>
      <c r="B49" s="39" t="str">
        <f aca="false">VLOOKUP(A49,ACTIVIDADES!$A$5:$B$50,2,FALSE())</f>
        <v>F6 · Equipamiento</v>
      </c>
      <c r="C49" s="28" t="n">
        <v>4</v>
      </c>
      <c r="D49" s="28" t="n">
        <v>2</v>
      </c>
      <c r="E49" s="28" t="n">
        <v>6</v>
      </c>
      <c r="F49" s="28" t="n">
        <v>3</v>
      </c>
      <c r="G49" s="44" t="n">
        <f aca="false">C49+E49</f>
        <v>10</v>
      </c>
      <c r="H49" s="44" t="n">
        <f aca="false">D49+F49</f>
        <v>5</v>
      </c>
      <c r="I49" s="40" t="n">
        <f aca="false">G49*gp1_ss</f>
        <v>279.8</v>
      </c>
      <c r="J49" s="40" t="n">
        <f aca="false">H49*gp1_ss</f>
        <v>139.9</v>
      </c>
      <c r="K49" s="41" t="n">
        <f aca="false">I49+J49</f>
        <v>419.7</v>
      </c>
    </row>
    <row r="50" customFormat="false" ht="15" hidden="false" customHeight="false" outlineLevel="0" collapsed="false">
      <c r="A50" s="26" t="s">
        <v>376</v>
      </c>
      <c r="B50" s="39" t="str">
        <f aca="false">VLOOKUP(A50,ACTIVIDADES!$A$5:$B$50,2,FALSE())</f>
        <v>F6 · Equipamiento</v>
      </c>
      <c r="C50" s="28" t="n">
        <v>4</v>
      </c>
      <c r="D50" s="28" t="n">
        <v>2</v>
      </c>
      <c r="E50" s="28" t="n">
        <v>6</v>
      </c>
      <c r="F50" s="28" t="n">
        <v>3</v>
      </c>
      <c r="G50" s="44" t="n">
        <f aca="false">C50+E50</f>
        <v>10</v>
      </c>
      <c r="H50" s="44" t="n">
        <f aca="false">D50+F50</f>
        <v>5</v>
      </c>
      <c r="I50" s="40" t="n">
        <f aca="false">G50*gp1_ss</f>
        <v>279.8</v>
      </c>
      <c r="J50" s="40" t="n">
        <f aca="false">H50*gp1_ss</f>
        <v>139.9</v>
      </c>
      <c r="K50" s="41" t="n">
        <f aca="false">I50+J50</f>
        <v>419.7</v>
      </c>
    </row>
    <row r="51" customFormat="false" ht="15" hidden="false" customHeight="false" outlineLevel="0" collapsed="false">
      <c r="A51" s="26" t="s">
        <v>378</v>
      </c>
      <c r="B51" s="39" t="str">
        <f aca="false">VLOOKUP(A51,ACTIVIDADES!$A$5:$B$50,2,FALSE())</f>
        <v>F7 · Despliegue terreno</v>
      </c>
      <c r="C51" s="28" t="n">
        <v>10</v>
      </c>
      <c r="D51" s="28" t="n">
        <v>2</v>
      </c>
      <c r="E51" s="28" t="n">
        <v>15</v>
      </c>
      <c r="F51" s="28" t="n">
        <v>3</v>
      </c>
      <c r="G51" s="44" t="n">
        <f aca="false">C51+E51</f>
        <v>25</v>
      </c>
      <c r="H51" s="44" t="n">
        <f aca="false">D51+F51</f>
        <v>5</v>
      </c>
      <c r="I51" s="40" t="n">
        <f aca="false">G51*gp1_ss</f>
        <v>699.5</v>
      </c>
      <c r="J51" s="40" t="n">
        <f aca="false">H51*gp1_ss</f>
        <v>139.9</v>
      </c>
      <c r="K51" s="41" t="n">
        <f aca="false">I51+J51</f>
        <v>839.4</v>
      </c>
    </row>
    <row r="52" customFormat="false" ht="15" hidden="false" customHeight="false" outlineLevel="0" collapsed="false">
      <c r="A52" s="26" t="s">
        <v>381</v>
      </c>
      <c r="B52" s="39" t="str">
        <f aca="false">VLOOKUP(A52,ACTIVIDADES!$A$5:$B$50,2,FALSE())</f>
        <v>F7 · Despliegue terreno</v>
      </c>
      <c r="C52" s="28" t="n">
        <v>10</v>
      </c>
      <c r="D52" s="28" t="n">
        <v>2</v>
      </c>
      <c r="E52" s="28" t="n">
        <v>8</v>
      </c>
      <c r="F52" s="28" t="n">
        <v>1</v>
      </c>
      <c r="G52" s="44" t="n">
        <f aca="false">C52+E52</f>
        <v>18</v>
      </c>
      <c r="H52" s="44" t="n">
        <f aca="false">D52+F52</f>
        <v>3</v>
      </c>
      <c r="I52" s="40" t="n">
        <f aca="false">G52*gp1_ss</f>
        <v>503.64</v>
      </c>
      <c r="J52" s="40" t="n">
        <f aca="false">H52*gp1_ss</f>
        <v>83.94</v>
      </c>
      <c r="K52" s="41" t="n">
        <f aca="false">I52+J52</f>
        <v>587.58</v>
      </c>
    </row>
    <row r="53" customFormat="false" ht="15" hidden="false" customHeight="false" outlineLevel="0" collapsed="false">
      <c r="A53" s="26" t="s">
        <v>384</v>
      </c>
      <c r="B53" s="39" t="str">
        <f aca="false">VLOOKUP(A53,ACTIVIDADES!$A$5:$B$50,2,FALSE())</f>
        <v>F8 · Ciclo productivo</v>
      </c>
      <c r="C53" s="28" t="n">
        <v>2</v>
      </c>
      <c r="D53" s="28" t="n">
        <v>4</v>
      </c>
      <c r="E53" s="28" t="n">
        <v>3</v>
      </c>
      <c r="F53" s="28" t="n">
        <v>6</v>
      </c>
      <c r="G53" s="44" t="n">
        <f aca="false">C53+E53</f>
        <v>5</v>
      </c>
      <c r="H53" s="44" t="n">
        <f aca="false">D53+F53</f>
        <v>10</v>
      </c>
      <c r="I53" s="40" t="n">
        <f aca="false">G53*gp1_ss</f>
        <v>139.9</v>
      </c>
      <c r="J53" s="40" t="n">
        <f aca="false">H53*gp1_ss</f>
        <v>279.8</v>
      </c>
      <c r="K53" s="41" t="n">
        <f aca="false">I53+J53</f>
        <v>419.7</v>
      </c>
    </row>
    <row r="54" customFormat="false" ht="15" hidden="false" customHeight="false" outlineLevel="0" collapsed="false">
      <c r="A54" s="26" t="s">
        <v>387</v>
      </c>
      <c r="B54" s="39" t="str">
        <f aca="false">VLOOKUP(A54,ACTIVIDADES!$A$5:$B$50,2,FALSE())</f>
        <v>F8 · Ciclo productivo</v>
      </c>
      <c r="C54" s="28" t="n">
        <v>2</v>
      </c>
      <c r="D54" s="28" t="n">
        <v>4</v>
      </c>
      <c r="E54" s="28" t="n">
        <v>3</v>
      </c>
      <c r="F54" s="28" t="n">
        <v>6</v>
      </c>
      <c r="G54" s="44" t="n">
        <f aca="false">C54+E54</f>
        <v>5</v>
      </c>
      <c r="H54" s="44" t="n">
        <f aca="false">D54+F54</f>
        <v>10</v>
      </c>
      <c r="I54" s="40" t="n">
        <f aca="false">G54*gp1_ss</f>
        <v>139.9</v>
      </c>
      <c r="J54" s="40" t="n">
        <f aca="false">H54*gp1_ss</f>
        <v>279.8</v>
      </c>
      <c r="K54" s="41" t="n">
        <f aca="false">I54+J54</f>
        <v>419.7</v>
      </c>
    </row>
    <row r="55" customFormat="false" ht="15" hidden="false" customHeight="false" outlineLevel="0" collapsed="false">
      <c r="A55" s="26" t="s">
        <v>390</v>
      </c>
      <c r="B55" s="39" t="str">
        <f aca="false">VLOOKUP(A55,ACTIVIDADES!$A$5:$B$50,2,FALSE())</f>
        <v>F8 · Ciclo productivo</v>
      </c>
      <c r="C55" s="28" t="n">
        <v>2</v>
      </c>
      <c r="D55" s="28" t="n">
        <v>4</v>
      </c>
      <c r="E55" s="28" t="n">
        <v>3</v>
      </c>
      <c r="F55" s="28" t="n">
        <v>6</v>
      </c>
      <c r="G55" s="44" t="n">
        <f aca="false">C55+E55</f>
        <v>5</v>
      </c>
      <c r="H55" s="44" t="n">
        <f aca="false">D55+F55</f>
        <v>10</v>
      </c>
      <c r="I55" s="40" t="n">
        <f aca="false">G55*gp1_ss</f>
        <v>139.9</v>
      </c>
      <c r="J55" s="40" t="n">
        <f aca="false">H55*gp1_ss</f>
        <v>279.8</v>
      </c>
      <c r="K55" s="41" t="n">
        <f aca="false">I55+J55</f>
        <v>419.7</v>
      </c>
    </row>
    <row r="56" customFormat="false" ht="15" hidden="false" customHeight="false" outlineLevel="0" collapsed="false">
      <c r="A56" s="26" t="s">
        <v>393</v>
      </c>
      <c r="B56" s="39" t="str">
        <f aca="false">VLOOKUP(A56,ACTIVIDADES!$A$5:$B$50,2,FALSE())</f>
        <v>F8 · Ciclo productivo</v>
      </c>
      <c r="C56" s="28" t="n">
        <v>2</v>
      </c>
      <c r="D56" s="28" t="n">
        <v>4</v>
      </c>
      <c r="E56" s="28" t="n">
        <v>3</v>
      </c>
      <c r="F56" s="28" t="n">
        <v>6</v>
      </c>
      <c r="G56" s="44" t="n">
        <f aca="false">C56+E56</f>
        <v>5</v>
      </c>
      <c r="H56" s="44" t="n">
        <f aca="false">D56+F56</f>
        <v>10</v>
      </c>
      <c r="I56" s="40" t="n">
        <f aca="false">G56*gp1_ss</f>
        <v>139.9</v>
      </c>
      <c r="J56" s="40" t="n">
        <f aca="false">H56*gp1_ss</f>
        <v>279.8</v>
      </c>
      <c r="K56" s="41" t="n">
        <f aca="false">I56+J56</f>
        <v>419.7</v>
      </c>
    </row>
    <row r="57" customFormat="false" ht="15" hidden="false" customHeight="false" outlineLevel="0" collapsed="false">
      <c r="A57" s="26" t="s">
        <v>396</v>
      </c>
      <c r="B57" s="39" t="str">
        <f aca="false">VLOOKUP(A57,ACTIVIDADES!$A$5:$B$50,2,FALSE())</f>
        <v>F8 · Ciclo productivo</v>
      </c>
      <c r="C57" s="28" t="n">
        <v>2</v>
      </c>
      <c r="D57" s="28" t="n">
        <v>4</v>
      </c>
      <c r="E57" s="28" t="n">
        <v>3</v>
      </c>
      <c r="F57" s="28" t="n">
        <v>6</v>
      </c>
      <c r="G57" s="44" t="n">
        <f aca="false">C57+E57</f>
        <v>5</v>
      </c>
      <c r="H57" s="44" t="n">
        <f aca="false">D57+F57</f>
        <v>10</v>
      </c>
      <c r="I57" s="40" t="n">
        <f aca="false">G57*gp1_ss</f>
        <v>139.9</v>
      </c>
      <c r="J57" s="40" t="n">
        <f aca="false">H57*gp1_ss</f>
        <v>279.8</v>
      </c>
      <c r="K57" s="41" t="n">
        <f aca="false">I57+J57</f>
        <v>419.7</v>
      </c>
    </row>
    <row r="58" customFormat="false" ht="15" hidden="false" customHeight="false" outlineLevel="0" collapsed="false">
      <c r="A58" s="26" t="s">
        <v>399</v>
      </c>
      <c r="B58" s="39" t="str">
        <f aca="false">VLOOKUP(A58,ACTIVIDADES!$A$5:$B$50,2,FALSE())</f>
        <v>F9 · Cierre</v>
      </c>
      <c r="C58" s="28" t="n">
        <v>3</v>
      </c>
      <c r="D58" s="28" t="n">
        <v>3</v>
      </c>
      <c r="E58" s="28" t="n">
        <v>5</v>
      </c>
      <c r="F58" s="28" t="n">
        <v>4</v>
      </c>
      <c r="G58" s="44" t="n">
        <f aca="false">C58+E58</f>
        <v>8</v>
      </c>
      <c r="H58" s="44" t="n">
        <f aca="false">D58+F58</f>
        <v>7</v>
      </c>
      <c r="I58" s="40" t="n">
        <f aca="false">G58*gp1_ss</f>
        <v>223.84</v>
      </c>
      <c r="J58" s="40" t="n">
        <f aca="false">H58*gp1_ss</f>
        <v>195.86</v>
      </c>
      <c r="K58" s="41" t="n">
        <f aca="false">I58+J58</f>
        <v>419.7</v>
      </c>
    </row>
    <row r="59" customFormat="false" ht="15" hidden="false" customHeight="false" outlineLevel="0" collapsed="false">
      <c r="A59" s="26" t="s">
        <v>402</v>
      </c>
      <c r="B59" s="39" t="str">
        <f aca="false">VLOOKUP(A59,ACTIVIDADES!$A$5:$B$50,2,FALSE())</f>
        <v>F10 · Software open-source</v>
      </c>
      <c r="C59" s="28" t="n">
        <v>6</v>
      </c>
      <c r="D59" s="28" t="n">
        <v>0</v>
      </c>
      <c r="E59" s="28" t="n">
        <v>9</v>
      </c>
      <c r="F59" s="28" t="n">
        <v>0</v>
      </c>
      <c r="G59" s="44" t="n">
        <f aca="false">C59+E59</f>
        <v>15</v>
      </c>
      <c r="H59" s="44" t="n">
        <f aca="false">D59+F59</f>
        <v>0</v>
      </c>
      <c r="I59" s="40" t="n">
        <f aca="false">G59*gp1_ss</f>
        <v>419.7</v>
      </c>
      <c r="J59" s="40" t="n">
        <f aca="false">H59*gp1_ss</f>
        <v>0</v>
      </c>
      <c r="K59" s="41" t="n">
        <f aca="false">I59+J59</f>
        <v>419.7</v>
      </c>
    </row>
    <row r="60" customFormat="false" ht="15" hidden="false" customHeight="false" outlineLevel="0" collapsed="false">
      <c r="A60" s="26" t="s">
        <v>405</v>
      </c>
      <c r="B60" s="39" t="str">
        <f aca="false">VLOOKUP(A60,ACTIVIDADES!$A$5:$B$50,2,FALSE())</f>
        <v>F10 · Software open-source</v>
      </c>
      <c r="C60" s="28" t="n">
        <v>6</v>
      </c>
      <c r="D60" s="28" t="n">
        <v>0</v>
      </c>
      <c r="E60" s="28" t="n">
        <v>9</v>
      </c>
      <c r="F60" s="28" t="n">
        <v>0</v>
      </c>
      <c r="G60" s="44" t="n">
        <f aca="false">C60+E60</f>
        <v>15</v>
      </c>
      <c r="H60" s="44" t="n">
        <f aca="false">D60+F60</f>
        <v>0</v>
      </c>
      <c r="I60" s="40" t="n">
        <f aca="false">G60*gp1_ss</f>
        <v>419.7</v>
      </c>
      <c r="J60" s="40" t="n">
        <f aca="false">H60*gp1_ss</f>
        <v>0</v>
      </c>
      <c r="K60" s="41" t="n">
        <f aca="false">I60+J60</f>
        <v>419.7</v>
      </c>
    </row>
    <row r="61" customFormat="false" ht="15" hidden="false" customHeight="false" outlineLevel="0" collapsed="false">
      <c r="A61" s="31"/>
      <c r="B61" s="32" t="s">
        <v>503</v>
      </c>
      <c r="C61" s="42" t="n">
        <f aca="false">SUM(C36:C60)</f>
        <v>147</v>
      </c>
      <c r="D61" s="42" t="n">
        <f aca="false">SUM(D36:D60)</f>
        <v>69</v>
      </c>
      <c r="E61" s="42" t="n">
        <f aca="false">SUM(E36:E60)</f>
        <v>196</v>
      </c>
      <c r="F61" s="42" t="n">
        <f aca="false">SUM(F36:F60)</f>
        <v>92</v>
      </c>
      <c r="G61" s="42" t="n">
        <f aca="false">SUM(G36:G60)</f>
        <v>343</v>
      </c>
      <c r="H61" s="42" t="n">
        <f aca="false">SUM(H36:H60)</f>
        <v>161</v>
      </c>
      <c r="I61" s="43" t="n">
        <f aca="false">SUM(I36:I60)</f>
        <v>9597.14</v>
      </c>
      <c r="J61" s="43" t="n">
        <f aca="false">SUM(J36:J60)</f>
        <v>4504.78</v>
      </c>
      <c r="K61" s="43" t="n">
        <f aca="false">SUM(K36:K60)</f>
        <v>14101.92</v>
      </c>
    </row>
    <row r="64" customFormat="false" ht="15" hidden="false" customHeight="true" outlineLevel="0" collapsed="false">
      <c r="A64" s="4" t="s">
        <v>504</v>
      </c>
      <c r="B64" s="4"/>
      <c r="C64" s="4"/>
      <c r="D64" s="4"/>
      <c r="E64" s="4"/>
      <c r="F64" s="4"/>
      <c r="G64" s="4"/>
      <c r="H64" s="4"/>
    </row>
    <row r="65" customFormat="false" ht="23.85" hidden="false" customHeight="false" outlineLevel="0" collapsed="false">
      <c r="A65" s="12" t="s">
        <v>318</v>
      </c>
      <c r="B65" s="12" t="s">
        <v>48</v>
      </c>
      <c r="C65" s="12" t="s">
        <v>505</v>
      </c>
      <c r="D65" s="12" t="s">
        <v>506</v>
      </c>
      <c r="E65" s="12" t="s">
        <v>507</v>
      </c>
      <c r="F65" s="12" t="s">
        <v>492</v>
      </c>
      <c r="G65" s="12" t="s">
        <v>493</v>
      </c>
      <c r="H65" s="12" t="s">
        <v>494</v>
      </c>
    </row>
    <row r="66" customFormat="false" ht="15" hidden="false" customHeight="false" outlineLevel="0" collapsed="false">
      <c r="A66" s="26" t="s">
        <v>328</v>
      </c>
      <c r="B66" s="27" t="s">
        <v>508</v>
      </c>
      <c r="C66" s="28" t="n">
        <v>4</v>
      </c>
      <c r="D66" s="28" t="n">
        <v>4</v>
      </c>
      <c r="E66" s="44" t="n">
        <f aca="false">C66+D66</f>
        <v>8</v>
      </c>
      <c r="F66" s="40" t="n">
        <f aca="false">C66*ext_h</f>
        <v>360</v>
      </c>
      <c r="G66" s="40" t="n">
        <f aca="false">D66*ext_h</f>
        <v>360</v>
      </c>
      <c r="H66" s="41" t="n">
        <f aca="false">F66+G66</f>
        <v>720</v>
      </c>
    </row>
    <row r="67" customFormat="false" ht="15" hidden="false" customHeight="false" outlineLevel="0" collapsed="false">
      <c r="A67" s="26" t="s">
        <v>399</v>
      </c>
      <c r="B67" s="27" t="s">
        <v>509</v>
      </c>
      <c r="C67" s="28" t="n">
        <v>3</v>
      </c>
      <c r="D67" s="28" t="n">
        <v>3</v>
      </c>
      <c r="E67" s="44" t="n">
        <f aca="false">C67+D67</f>
        <v>6</v>
      </c>
      <c r="F67" s="40" t="n">
        <f aca="false">C67*ext_h</f>
        <v>270</v>
      </c>
      <c r="G67" s="40" t="n">
        <f aca="false">D67*ext_h</f>
        <v>270</v>
      </c>
      <c r="H67" s="41" t="n">
        <f aca="false">F67+G67</f>
        <v>540</v>
      </c>
    </row>
    <row r="68" customFormat="false" ht="15" hidden="false" customHeight="false" outlineLevel="0" collapsed="false">
      <c r="A68" s="31"/>
      <c r="B68" s="32" t="s">
        <v>510</v>
      </c>
      <c r="C68" s="42" t="n">
        <f aca="false">SUM(C66:C67)</f>
        <v>7</v>
      </c>
      <c r="D68" s="42" t="n">
        <f aca="false">SUM(D66:D67)</f>
        <v>7</v>
      </c>
      <c r="E68" s="42" t="n">
        <f aca="false">SUM(E66:E67)</f>
        <v>14</v>
      </c>
      <c r="F68" s="43" t="n">
        <f aca="false">SUM(F66:F67)</f>
        <v>630</v>
      </c>
      <c r="G68" s="43" t="n">
        <f aca="false">SUM(G66:G67)</f>
        <v>630</v>
      </c>
      <c r="H68" s="43" t="n">
        <f aca="false">SUM(H66:H67)</f>
        <v>1260</v>
      </c>
    </row>
    <row r="71" customFormat="false" ht="26.85" hidden="false" customHeight="true" outlineLevel="0" collapsed="false">
      <c r="A71" s="4" t="s">
        <v>511</v>
      </c>
      <c r="B71" s="4"/>
      <c r="C71" s="4"/>
      <c r="D71" s="4"/>
      <c r="E71" s="4"/>
      <c r="F71" s="4"/>
      <c r="G71" s="4"/>
      <c r="H71" s="4"/>
    </row>
    <row r="72" customFormat="false" ht="23.85" hidden="false" customHeight="false" outlineLevel="0" collapsed="false">
      <c r="A72" s="12" t="s">
        <v>318</v>
      </c>
      <c r="B72" s="12" t="s">
        <v>48</v>
      </c>
      <c r="C72" s="12" t="s">
        <v>505</v>
      </c>
      <c r="D72" s="12" t="s">
        <v>506</v>
      </c>
      <c r="E72" s="12" t="s">
        <v>507</v>
      </c>
      <c r="F72" s="12" t="s">
        <v>492</v>
      </c>
      <c r="G72" s="12" t="s">
        <v>493</v>
      </c>
      <c r="H72" s="12" t="s">
        <v>494</v>
      </c>
    </row>
    <row r="73" customFormat="false" ht="15" hidden="false" customHeight="false" outlineLevel="0" collapsed="false">
      <c r="A73" s="26" t="s">
        <v>361</v>
      </c>
      <c r="B73" s="27" t="s">
        <v>512</v>
      </c>
      <c r="C73" s="28" t="n">
        <v>15</v>
      </c>
      <c r="D73" s="28" t="n">
        <v>35</v>
      </c>
      <c r="E73" s="44" t="n">
        <f aca="false">C73+D73</f>
        <v>50</v>
      </c>
      <c r="F73" s="40" t="n">
        <f aca="false">C73*ext_h</f>
        <v>1350</v>
      </c>
      <c r="G73" s="40" t="n">
        <f aca="false">D73*ext_h</f>
        <v>3150</v>
      </c>
      <c r="H73" s="41" t="n">
        <f aca="false">F73+G73</f>
        <v>4500</v>
      </c>
    </row>
    <row r="74" customFormat="false" ht="15" hidden="false" customHeight="false" outlineLevel="0" collapsed="false">
      <c r="A74" s="26" t="s">
        <v>365</v>
      </c>
      <c r="B74" s="27" t="s">
        <v>513</v>
      </c>
      <c r="C74" s="28" t="n">
        <v>9</v>
      </c>
      <c r="D74" s="28" t="n">
        <v>21</v>
      </c>
      <c r="E74" s="44" t="n">
        <f aca="false">C74+D74</f>
        <v>30</v>
      </c>
      <c r="F74" s="40" t="n">
        <f aca="false">C74*ext_h</f>
        <v>810</v>
      </c>
      <c r="G74" s="40" t="n">
        <f aca="false">D74*ext_h</f>
        <v>1890</v>
      </c>
      <c r="H74" s="41" t="n">
        <f aca="false">F74+G74</f>
        <v>2700</v>
      </c>
    </row>
    <row r="75" customFormat="false" ht="15" hidden="false" customHeight="false" outlineLevel="0" collapsed="false">
      <c r="A75" s="26" t="s">
        <v>367</v>
      </c>
      <c r="B75" s="27" t="s">
        <v>514</v>
      </c>
      <c r="C75" s="28" t="n">
        <v>9</v>
      </c>
      <c r="D75" s="28" t="n">
        <v>21</v>
      </c>
      <c r="E75" s="44" t="n">
        <f aca="false">C75+D75</f>
        <v>30</v>
      </c>
      <c r="F75" s="40" t="n">
        <f aca="false">C75*ext_h</f>
        <v>810</v>
      </c>
      <c r="G75" s="40" t="n">
        <f aca="false">D75*ext_h</f>
        <v>1890</v>
      </c>
      <c r="H75" s="41" t="n">
        <f aca="false">F75+G75</f>
        <v>2700</v>
      </c>
    </row>
    <row r="76" customFormat="false" ht="15" hidden="false" customHeight="false" outlineLevel="0" collapsed="false">
      <c r="A76" s="26" t="s">
        <v>373</v>
      </c>
      <c r="B76" s="27" t="s">
        <v>515</v>
      </c>
      <c r="C76" s="28" t="n">
        <v>8</v>
      </c>
      <c r="D76" s="28" t="n">
        <v>8</v>
      </c>
      <c r="E76" s="44" t="n">
        <f aca="false">C76+D76</f>
        <v>16</v>
      </c>
      <c r="F76" s="40" t="n">
        <f aca="false">C76*ext_h</f>
        <v>720</v>
      </c>
      <c r="G76" s="40" t="n">
        <f aca="false">D76*ext_h</f>
        <v>720</v>
      </c>
      <c r="H76" s="41" t="n">
        <f aca="false">F76+G76</f>
        <v>1440</v>
      </c>
    </row>
    <row r="77" customFormat="false" ht="15" hidden="false" customHeight="false" outlineLevel="0" collapsed="false">
      <c r="A77" s="31"/>
      <c r="B77" s="32" t="s">
        <v>516</v>
      </c>
      <c r="C77" s="42" t="n">
        <f aca="false">SUM(C73:C76)</f>
        <v>41</v>
      </c>
      <c r="D77" s="42" t="n">
        <f aca="false">SUM(D73:D76)</f>
        <v>85</v>
      </c>
      <c r="E77" s="42" t="n">
        <f aca="false">SUM(E73:E76)</f>
        <v>126</v>
      </c>
      <c r="F77" s="43" t="n">
        <f aca="false">SUM(F73:F76)</f>
        <v>3690</v>
      </c>
      <c r="G77" s="43" t="n">
        <f aca="false">SUM(G73:G76)</f>
        <v>7650</v>
      </c>
      <c r="H77" s="43" t="n">
        <f aca="false">SUM(H73:H76)</f>
        <v>11340</v>
      </c>
    </row>
    <row r="80" customFormat="false" ht="26.85" hidden="false" customHeight="true" outlineLevel="0" collapsed="false">
      <c r="A80" s="4" t="s">
        <v>517</v>
      </c>
      <c r="B80" s="4"/>
      <c r="C80" s="4"/>
      <c r="D80" s="4"/>
      <c r="E80" s="4"/>
      <c r="F80" s="4"/>
      <c r="G80" s="4"/>
      <c r="H80" s="4"/>
    </row>
    <row r="81" customFormat="false" ht="15" hidden="false" customHeight="false" outlineLevel="0" collapsed="false">
      <c r="A81" s="12" t="s">
        <v>518</v>
      </c>
      <c r="B81" s="12" t="s">
        <v>519</v>
      </c>
      <c r="C81" s="12" t="s">
        <v>326</v>
      </c>
      <c r="D81" s="12" t="s">
        <v>520</v>
      </c>
      <c r="E81" s="12" t="s">
        <v>521</v>
      </c>
      <c r="F81" s="12" t="s">
        <v>507</v>
      </c>
      <c r="G81" s="12" t="s">
        <v>54</v>
      </c>
      <c r="H81" s="12" t="s">
        <v>522</v>
      </c>
    </row>
    <row r="82" customFormat="false" ht="15" hidden="false" customHeight="false" outlineLevel="0" collapsed="false">
      <c r="A82" s="27" t="s">
        <v>523</v>
      </c>
      <c r="B82" s="30" t="s">
        <v>524</v>
      </c>
      <c r="C82" s="30" t="s">
        <v>331</v>
      </c>
      <c r="D82" s="28" t="n">
        <v>32</v>
      </c>
      <c r="E82" s="45" t="n">
        <f aca="false">meses_p1</f>
        <v>7</v>
      </c>
      <c r="F82" s="44" t="n">
        <f aca="false">D82*E82</f>
        <v>224</v>
      </c>
      <c r="G82" s="46" t="n">
        <f aca="false">gp1_ss</f>
        <v>27.98</v>
      </c>
      <c r="H82" s="41" t="n">
        <f aca="false">F82*G82</f>
        <v>6267.52</v>
      </c>
    </row>
    <row r="83" customFormat="false" ht="15" hidden="false" customHeight="false" outlineLevel="0" collapsed="false">
      <c r="A83" s="27" t="s">
        <v>525</v>
      </c>
      <c r="B83" s="30" t="s">
        <v>524</v>
      </c>
      <c r="C83" s="30" t="s">
        <v>347</v>
      </c>
      <c r="D83" s="28" t="n">
        <v>25</v>
      </c>
      <c r="E83" s="45" t="n">
        <f aca="false">meses_p2</f>
        <v>10</v>
      </c>
      <c r="F83" s="44" t="n">
        <f aca="false">D83*E83</f>
        <v>250</v>
      </c>
      <c r="G83" s="46" t="n">
        <f aca="false">gp1_ss</f>
        <v>27.98</v>
      </c>
      <c r="H83" s="41" t="n">
        <f aca="false">F83*G83</f>
        <v>6995</v>
      </c>
    </row>
    <row r="84" customFormat="false" ht="15" hidden="false" customHeight="false" outlineLevel="0" collapsed="false">
      <c r="A84" s="27" t="s">
        <v>526</v>
      </c>
      <c r="B84" s="30" t="s">
        <v>527</v>
      </c>
      <c r="C84" s="30" t="s">
        <v>331</v>
      </c>
      <c r="D84" s="28" t="n">
        <v>32</v>
      </c>
      <c r="E84" s="45" t="n">
        <f aca="false">meses_p1</f>
        <v>7</v>
      </c>
      <c r="F84" s="44" t="n">
        <f aca="false">D84*E84</f>
        <v>224</v>
      </c>
      <c r="G84" s="46" t="n">
        <f aca="false">gp1_ss</f>
        <v>27.98</v>
      </c>
      <c r="H84" s="41" t="n">
        <f aca="false">F84*G84</f>
        <v>6267.52</v>
      </c>
    </row>
    <row r="85" customFormat="false" ht="15" hidden="false" customHeight="false" outlineLevel="0" collapsed="false">
      <c r="A85" s="27" t="s">
        <v>528</v>
      </c>
      <c r="B85" s="30" t="s">
        <v>527</v>
      </c>
      <c r="C85" s="30" t="s">
        <v>347</v>
      </c>
      <c r="D85" s="28" t="n">
        <v>25</v>
      </c>
      <c r="E85" s="45" t="n">
        <f aca="false">meses_p2</f>
        <v>10</v>
      </c>
      <c r="F85" s="44" t="n">
        <f aca="false">D85*E85</f>
        <v>250</v>
      </c>
      <c r="G85" s="46" t="n">
        <f aca="false">gp1_ss</f>
        <v>27.98</v>
      </c>
      <c r="H85" s="41" t="n">
        <f aca="false">F85*G85</f>
        <v>6995</v>
      </c>
    </row>
    <row r="86" customFormat="false" ht="15" hidden="false" customHeight="false" outlineLevel="0" collapsed="false">
      <c r="A86" s="31"/>
      <c r="B86" s="32" t="s">
        <v>529</v>
      </c>
      <c r="C86" s="31"/>
      <c r="D86" s="42" t="n">
        <f aca="false">SUM(D82:D85)</f>
        <v>114</v>
      </c>
      <c r="E86" s="31"/>
      <c r="F86" s="42" t="n">
        <f aca="false">SUM(F82:F85)</f>
        <v>948</v>
      </c>
      <c r="G86" s="31"/>
      <c r="H86" s="43" t="n">
        <f aca="false">SUM(H82:H85)</f>
        <v>26525.04</v>
      </c>
    </row>
  </sheetData>
  <mergeCells count="7">
    <mergeCell ref="A1:N1"/>
    <mergeCell ref="A2:N2"/>
    <mergeCell ref="A4:K4"/>
    <mergeCell ref="A34:K34"/>
    <mergeCell ref="A64:H64"/>
    <mergeCell ref="A71:H71"/>
    <mergeCell ref="A80:H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8"/>
    <col collapsed="false" customWidth="true" hidden="false" outlineLevel="0" max="5" min="4" style="0" width="12"/>
    <col collapsed="false" customWidth="true" hidden="false" outlineLevel="0" max="10" min="6" style="0" width="10"/>
    <col collapsed="false" customWidth="true" hidden="false" outlineLevel="0" max="14" min="11" style="0" width="12"/>
    <col collapsed="false" customWidth="true" hidden="false" outlineLevel="0" max="15" min="15" style="0" width="10"/>
    <col collapsed="false" customWidth="true" hidden="false" outlineLevel="0" max="17" min="16" style="0" width="12"/>
    <col collapsed="false" customWidth="true" hidden="false" outlineLevel="0" max="18" min="18" style="0" width="10"/>
  </cols>
  <sheetData>
    <row r="1" customFormat="false" ht="25.5" hidden="false" customHeight="true" outlineLevel="0" collapsed="false">
      <c r="A1" s="25" t="s">
        <v>530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customFormat="false" ht="15" hidden="false" customHeight="false" outlineLevel="0" collapsed="false">
      <c r="A2" s="2" t="s">
        <v>531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23.85" hidden="false" customHeight="false" outlineLevel="0" collapsed="false">
      <c r="A4" s="12" t="s">
        <v>318</v>
      </c>
      <c r="B4" s="12" t="s">
        <v>436</v>
      </c>
      <c r="C4" s="12" t="s">
        <v>321</v>
      </c>
      <c r="D4" s="12" t="s">
        <v>532</v>
      </c>
      <c r="E4" s="12" t="s">
        <v>533</v>
      </c>
      <c r="F4" s="12" t="s">
        <v>534</v>
      </c>
      <c r="G4" s="12" t="s">
        <v>535</v>
      </c>
      <c r="H4" s="12" t="s">
        <v>536</v>
      </c>
      <c r="I4" s="12" t="s">
        <v>537</v>
      </c>
      <c r="J4" s="12" t="s">
        <v>538</v>
      </c>
      <c r="K4" s="12" t="s">
        <v>539</v>
      </c>
      <c r="L4" s="12" t="s">
        <v>540</v>
      </c>
      <c r="M4" s="12" t="s">
        <v>541</v>
      </c>
      <c r="N4" s="12" t="s">
        <v>542</v>
      </c>
      <c r="O4" s="12" t="s">
        <v>543</v>
      </c>
      <c r="P4" s="12" t="s">
        <v>544</v>
      </c>
      <c r="Q4" s="12" t="s">
        <v>545</v>
      </c>
      <c r="R4" s="12" t="s">
        <v>326</v>
      </c>
    </row>
    <row r="5" customFormat="false" ht="15" hidden="false" customHeight="false" outlineLevel="0" collapsed="false">
      <c r="A5" s="26" t="s">
        <v>328</v>
      </c>
      <c r="B5" s="30" t="n">
        <v>1</v>
      </c>
      <c r="C5" s="47" t="n">
        <f aca="false">VLOOKUP(A5,ACTIVIDADES!$A$5:$D$50,4,FALSE())</f>
        <v>1</v>
      </c>
      <c r="D5" s="47" t="n">
        <f aca="false">VLOOKUP(A5,ACTIVIDADES!$A$5:$F$50,6,FALSE())</f>
        <v>15</v>
      </c>
      <c r="E5" s="47" t="n">
        <f aca="false">VLOOKUP(A5,ACTIVIDADES!$A$5:$G$50,7,FALSE())</f>
        <v>5</v>
      </c>
      <c r="F5" s="28" t="n">
        <v>1</v>
      </c>
      <c r="G5" s="28" t="n">
        <v>1</v>
      </c>
      <c r="H5" s="44" t="n">
        <f aca="false">D5+E5+F5+G5</f>
        <v>22</v>
      </c>
      <c r="I5" s="44" t="n">
        <f aca="false">D5+E5+F5</f>
        <v>21</v>
      </c>
      <c r="J5" s="28" t="n">
        <v>0</v>
      </c>
      <c r="K5" s="40" t="n">
        <f aca="false">H5*(J5*manut_dia+(C5-J5)*manut_med)</f>
        <v>411.4</v>
      </c>
      <c r="L5" s="40" t="n">
        <f aca="false">I5*J5*alojamiento</f>
        <v>0</v>
      </c>
      <c r="M5" s="40" t="n">
        <f aca="false">C5*bus_dia*CEILING(I5/cap_bus,1)</f>
        <v>700</v>
      </c>
      <c r="N5" s="41" t="n">
        <f aca="false">K5+L5+M5</f>
        <v>1111.4</v>
      </c>
      <c r="O5" s="48" t="n">
        <v>0.4</v>
      </c>
      <c r="P5" s="40" t="n">
        <f aca="false">N5*O5</f>
        <v>444.56</v>
      </c>
      <c r="Q5" s="40" t="n">
        <f aca="false">N5*(1-O5)</f>
        <v>666.84</v>
      </c>
      <c r="R5" s="28" t="s">
        <v>331</v>
      </c>
    </row>
    <row r="6" customFormat="false" ht="15" hidden="false" customHeight="false" outlineLevel="0" collapsed="false">
      <c r="A6" s="26" t="s">
        <v>333</v>
      </c>
      <c r="B6" s="30" t="n">
        <v>1</v>
      </c>
      <c r="C6" s="47" t="n">
        <f aca="false">VLOOKUP(A6,ACTIVIDADES!$A$5:$D$50,4,FALSE())</f>
        <v>2</v>
      </c>
      <c r="D6" s="47" t="n">
        <f aca="false">VLOOKUP(A6,ACTIVIDADES!$A$5:$F$50,6,FALSE())</f>
        <v>18</v>
      </c>
      <c r="E6" s="47" t="n">
        <f aca="false">VLOOKUP(A6,ACTIVIDADES!$A$5:$G$50,7,FALSE())</f>
        <v>4</v>
      </c>
      <c r="F6" s="28" t="n">
        <v>1</v>
      </c>
      <c r="G6" s="28" t="n">
        <v>1</v>
      </c>
      <c r="H6" s="44" t="n">
        <f aca="false">D6+E6+F6+G6</f>
        <v>24</v>
      </c>
      <c r="I6" s="44" t="n">
        <f aca="false">D6+E6+F6</f>
        <v>23</v>
      </c>
      <c r="J6" s="28" t="n">
        <v>1</v>
      </c>
      <c r="K6" s="40" t="n">
        <f aca="false">H6*(J6*manut_dia+(C6-J6)*manut_med)</f>
        <v>1346.4</v>
      </c>
      <c r="L6" s="40" t="n">
        <f aca="false">I6*J6*alojamiento</f>
        <v>1517.31</v>
      </c>
      <c r="M6" s="40" t="n">
        <f aca="false">C6*bus_dia*CEILING(I6/cap_bus,1)</f>
        <v>1400</v>
      </c>
      <c r="N6" s="41" t="n">
        <f aca="false">K6+L6+M6</f>
        <v>4263.71</v>
      </c>
      <c r="O6" s="48" t="n">
        <v>0.7</v>
      </c>
      <c r="P6" s="40" t="n">
        <f aca="false">N6*O6</f>
        <v>2984.597</v>
      </c>
      <c r="Q6" s="40" t="n">
        <f aca="false">N6*(1-O6)</f>
        <v>1279.113</v>
      </c>
      <c r="R6" s="28" t="s">
        <v>331</v>
      </c>
    </row>
    <row r="7" customFormat="false" ht="15" hidden="false" customHeight="false" outlineLevel="0" collapsed="false">
      <c r="A7" s="26" t="s">
        <v>333</v>
      </c>
      <c r="B7" s="30" t="n">
        <v>2</v>
      </c>
      <c r="C7" s="47" t="n">
        <f aca="false">VLOOKUP(A7,ACTIVIDADES!$A$5:$D$50,4,FALSE())</f>
        <v>2</v>
      </c>
      <c r="D7" s="47" t="n">
        <f aca="false">VLOOKUP(A7,ACTIVIDADES!$A$5:$F$50,6,FALSE())</f>
        <v>18</v>
      </c>
      <c r="E7" s="47" t="n">
        <f aca="false">VLOOKUP(A7,ACTIVIDADES!$A$5:$G$50,7,FALSE())</f>
        <v>4</v>
      </c>
      <c r="F7" s="28" t="n">
        <v>1</v>
      </c>
      <c r="G7" s="28" t="n">
        <v>1</v>
      </c>
      <c r="H7" s="44" t="n">
        <f aca="false">D7+E7+F7+G7</f>
        <v>24</v>
      </c>
      <c r="I7" s="44" t="n">
        <f aca="false">D7+E7+F7</f>
        <v>23</v>
      </c>
      <c r="J7" s="28" t="n">
        <v>1</v>
      </c>
      <c r="K7" s="40" t="n">
        <f aca="false">H7*(J7*manut_dia+(C7-J7)*manut_med)</f>
        <v>1346.4</v>
      </c>
      <c r="L7" s="40" t="n">
        <f aca="false">I7*J7*alojamiento</f>
        <v>1517.31</v>
      </c>
      <c r="M7" s="40" t="n">
        <f aca="false">C7*bus_dia*CEILING(I7/cap_bus,1)</f>
        <v>1400</v>
      </c>
      <c r="N7" s="41" t="n">
        <f aca="false">K7+L7+M7</f>
        <v>4263.71</v>
      </c>
      <c r="O7" s="48" t="n">
        <v>0.7</v>
      </c>
      <c r="P7" s="40" t="n">
        <f aca="false">N7*O7</f>
        <v>2984.597</v>
      </c>
      <c r="Q7" s="40" t="n">
        <f aca="false">N7*(1-O7)</f>
        <v>1279.113</v>
      </c>
      <c r="R7" s="28" t="s">
        <v>347</v>
      </c>
    </row>
    <row r="8" customFormat="false" ht="15" hidden="false" customHeight="false" outlineLevel="0" collapsed="false">
      <c r="A8" s="26" t="s">
        <v>338</v>
      </c>
      <c r="B8" s="30" t="n">
        <v>1</v>
      </c>
      <c r="C8" s="47" t="n">
        <f aca="false">VLOOKUP(A8,ACTIVIDADES!$A$5:$D$50,4,FALSE())</f>
        <v>1</v>
      </c>
      <c r="D8" s="47" t="n">
        <f aca="false">VLOOKUP(A8,ACTIVIDADES!$A$5:$F$50,6,FALSE())</f>
        <v>18</v>
      </c>
      <c r="E8" s="47" t="n">
        <f aca="false">VLOOKUP(A8,ACTIVIDADES!$A$5:$G$50,7,FALSE())</f>
        <v>4</v>
      </c>
      <c r="F8" s="28" t="n">
        <v>1</v>
      </c>
      <c r="G8" s="28" t="n">
        <v>1</v>
      </c>
      <c r="H8" s="44" t="n">
        <f aca="false">D8+E8+F8+G8</f>
        <v>24</v>
      </c>
      <c r="I8" s="44" t="n">
        <f aca="false">D8+E8+F8</f>
        <v>23</v>
      </c>
      <c r="J8" s="28" t="n">
        <v>0</v>
      </c>
      <c r="K8" s="40" t="n">
        <f aca="false">H8*(J8*manut_dia+(C8-J8)*manut_med)</f>
        <v>448.8</v>
      </c>
      <c r="L8" s="40" t="n">
        <f aca="false">I8*J8*alojamiento</f>
        <v>0</v>
      </c>
      <c r="M8" s="40" t="n">
        <f aca="false">C8*bus_dia*CEILING(I8/cap_bus,1)</f>
        <v>700</v>
      </c>
      <c r="N8" s="41" t="n">
        <f aca="false">K8+L8+M8</f>
        <v>1148.8</v>
      </c>
      <c r="O8" s="48" t="n">
        <v>0.7</v>
      </c>
      <c r="P8" s="40" t="n">
        <f aca="false">N8*O8</f>
        <v>804.16</v>
      </c>
      <c r="Q8" s="40" t="n">
        <f aca="false">N8*(1-O8)</f>
        <v>344.64</v>
      </c>
      <c r="R8" s="28" t="s">
        <v>331</v>
      </c>
    </row>
    <row r="9" customFormat="false" ht="15" hidden="false" customHeight="false" outlineLevel="0" collapsed="false">
      <c r="A9" s="26" t="s">
        <v>341</v>
      </c>
      <c r="B9" s="30" t="n">
        <v>1</v>
      </c>
      <c r="C9" s="47" t="n">
        <f aca="false">VLOOKUP(A9,ACTIVIDADES!$A$5:$D$50,4,FALSE())</f>
        <v>2</v>
      </c>
      <c r="D9" s="47" t="n">
        <f aca="false">VLOOKUP(A9,ACTIVIDADES!$A$5:$F$50,6,FALSE())</f>
        <v>15</v>
      </c>
      <c r="E9" s="47" t="n">
        <f aca="false">VLOOKUP(A9,ACTIVIDADES!$A$5:$G$50,7,FALSE())</f>
        <v>5</v>
      </c>
      <c r="F9" s="28" t="n">
        <v>1</v>
      </c>
      <c r="G9" s="28" t="n">
        <v>1</v>
      </c>
      <c r="H9" s="44" t="n">
        <f aca="false">D9+E9+F9+G9</f>
        <v>22</v>
      </c>
      <c r="I9" s="44" t="n">
        <f aca="false">D9+E9+F9</f>
        <v>21</v>
      </c>
      <c r="J9" s="28" t="n">
        <v>1</v>
      </c>
      <c r="K9" s="40" t="n">
        <f aca="false">H9*(J9*manut_dia+(C9-J9)*manut_med)</f>
        <v>1234.2</v>
      </c>
      <c r="L9" s="40" t="n">
        <f aca="false">I9*J9*alojamiento</f>
        <v>1385.37</v>
      </c>
      <c r="M9" s="40" t="n">
        <f aca="false">C9*bus_dia*CEILING(I9/cap_bus,1)</f>
        <v>1400</v>
      </c>
      <c r="N9" s="41" t="n">
        <f aca="false">K9+L9+M9</f>
        <v>4019.57</v>
      </c>
      <c r="O9" s="48" t="n">
        <v>0.7</v>
      </c>
      <c r="P9" s="40" t="n">
        <f aca="false">N9*O9</f>
        <v>2813.699</v>
      </c>
      <c r="Q9" s="40" t="n">
        <f aca="false">N9*(1-O9)</f>
        <v>1205.871</v>
      </c>
      <c r="R9" s="28" t="s">
        <v>331</v>
      </c>
    </row>
    <row r="10" customFormat="false" ht="15" hidden="false" customHeight="false" outlineLevel="0" collapsed="false">
      <c r="A10" s="26" t="s">
        <v>344</v>
      </c>
      <c r="B10" s="30" t="n">
        <v>1</v>
      </c>
      <c r="C10" s="47" t="n">
        <f aca="false">VLOOKUP(A10,ACTIVIDADES!$A$5:$D$50,4,FALSE())</f>
        <v>2</v>
      </c>
      <c r="D10" s="47" t="n">
        <f aca="false">VLOOKUP(A10,ACTIVIDADES!$A$5:$F$50,6,FALSE())</f>
        <v>12</v>
      </c>
      <c r="E10" s="47" t="n">
        <f aca="false">VLOOKUP(A10,ACTIVIDADES!$A$5:$G$50,7,FALSE())</f>
        <v>6</v>
      </c>
      <c r="F10" s="28" t="n">
        <v>2</v>
      </c>
      <c r="G10" s="28" t="n">
        <v>1</v>
      </c>
      <c r="H10" s="44" t="n">
        <f aca="false">D10+E10+F10+G10</f>
        <v>21</v>
      </c>
      <c r="I10" s="44" t="n">
        <f aca="false">D10+E10+F10</f>
        <v>20</v>
      </c>
      <c r="J10" s="28" t="n">
        <v>1</v>
      </c>
      <c r="K10" s="40" t="n">
        <f aca="false">H10*(J10*manut_dia+(C10-J10)*manut_med)</f>
        <v>1178.1</v>
      </c>
      <c r="L10" s="40" t="n">
        <f aca="false">I10*J10*alojamiento</f>
        <v>1319.4</v>
      </c>
      <c r="M10" s="40" t="n">
        <f aca="false">C10*bus_dia*CEILING(I10/cap_bus,1)</f>
        <v>1400</v>
      </c>
      <c r="N10" s="41" t="n">
        <f aca="false">K10+L10+M10</f>
        <v>3897.5</v>
      </c>
      <c r="O10" s="48" t="n">
        <v>0.6</v>
      </c>
      <c r="P10" s="40" t="n">
        <f aca="false">N10*O10</f>
        <v>2338.5</v>
      </c>
      <c r="Q10" s="40" t="n">
        <f aca="false">N10*(1-O10)</f>
        <v>1559</v>
      </c>
      <c r="R10" s="28" t="s">
        <v>347</v>
      </c>
    </row>
    <row r="11" customFormat="false" ht="15" hidden="false" customHeight="false" outlineLevel="0" collapsed="false">
      <c r="A11" s="26" t="s">
        <v>349</v>
      </c>
      <c r="B11" s="30" t="n">
        <v>1</v>
      </c>
      <c r="C11" s="47" t="n">
        <f aca="false">VLOOKUP(A11,ACTIVIDADES!$A$5:$D$50,4,FALSE())</f>
        <v>1</v>
      </c>
      <c r="D11" s="47" t="n">
        <f aca="false">VLOOKUP(A11,ACTIVIDADES!$A$5:$F$50,6,FALSE())</f>
        <v>15</v>
      </c>
      <c r="E11" s="47" t="n">
        <f aca="false">VLOOKUP(A11,ACTIVIDADES!$A$5:$G$50,7,FALSE())</f>
        <v>5</v>
      </c>
      <c r="F11" s="28" t="n">
        <v>1</v>
      </c>
      <c r="G11" s="28" t="n">
        <v>1</v>
      </c>
      <c r="H11" s="44" t="n">
        <f aca="false">D11+E11+F11+G11</f>
        <v>22</v>
      </c>
      <c r="I11" s="44" t="n">
        <f aca="false">D11+E11+F11</f>
        <v>21</v>
      </c>
      <c r="J11" s="28" t="n">
        <v>0</v>
      </c>
      <c r="K11" s="40" t="n">
        <f aca="false">H11*(J11*manut_dia+(C11-J11)*manut_med)</f>
        <v>411.4</v>
      </c>
      <c r="L11" s="40" t="n">
        <f aca="false">I11*J11*alojamiento</f>
        <v>0</v>
      </c>
      <c r="M11" s="40" t="n">
        <f aca="false">C11*bus_dia*CEILING(I11/cap_bus,1)</f>
        <v>700</v>
      </c>
      <c r="N11" s="41" t="n">
        <f aca="false">K11+L11+M11</f>
        <v>1111.4</v>
      </c>
      <c r="O11" s="48" t="n">
        <v>0.6</v>
      </c>
      <c r="P11" s="40" t="n">
        <f aca="false">N11*O11</f>
        <v>666.84</v>
      </c>
      <c r="Q11" s="40" t="n">
        <f aca="false">N11*(1-O11)</f>
        <v>444.56</v>
      </c>
      <c r="R11" s="28" t="s">
        <v>347</v>
      </c>
    </row>
    <row r="12" customFormat="false" ht="15" hidden="false" customHeight="false" outlineLevel="0" collapsed="false">
      <c r="A12" s="26" t="s">
        <v>349</v>
      </c>
      <c r="B12" s="30" t="n">
        <v>2</v>
      </c>
      <c r="C12" s="47" t="n">
        <f aca="false">VLOOKUP(A12,ACTIVIDADES!$A$5:$D$50,4,FALSE())</f>
        <v>1</v>
      </c>
      <c r="D12" s="47" t="n">
        <f aca="false">VLOOKUP(A12,ACTIVIDADES!$A$5:$F$50,6,FALSE())</f>
        <v>15</v>
      </c>
      <c r="E12" s="47" t="n">
        <f aca="false">VLOOKUP(A12,ACTIVIDADES!$A$5:$G$50,7,FALSE())</f>
        <v>5</v>
      </c>
      <c r="F12" s="28" t="n">
        <v>1</v>
      </c>
      <c r="G12" s="28" t="n">
        <v>1</v>
      </c>
      <c r="H12" s="44" t="n">
        <f aca="false">D12+E12+F12+G12</f>
        <v>22</v>
      </c>
      <c r="I12" s="44" t="n">
        <f aca="false">D12+E12+F12</f>
        <v>21</v>
      </c>
      <c r="J12" s="28" t="n">
        <v>0</v>
      </c>
      <c r="K12" s="40" t="n">
        <f aca="false">H12*(J12*manut_dia+(C12-J12)*manut_med)</f>
        <v>411.4</v>
      </c>
      <c r="L12" s="40" t="n">
        <f aca="false">I12*J12*alojamiento</f>
        <v>0</v>
      </c>
      <c r="M12" s="40" t="n">
        <f aca="false">C12*bus_dia*CEILING(I12/cap_bus,1)</f>
        <v>700</v>
      </c>
      <c r="N12" s="41" t="n">
        <f aca="false">K12+L12+M12</f>
        <v>1111.4</v>
      </c>
      <c r="O12" s="48" t="n">
        <v>0.6</v>
      </c>
      <c r="P12" s="40" t="n">
        <f aca="false">N12*O12</f>
        <v>666.84</v>
      </c>
      <c r="Q12" s="40" t="n">
        <f aca="false">N12*(1-O12)</f>
        <v>444.56</v>
      </c>
      <c r="R12" s="28" t="s">
        <v>347</v>
      </c>
    </row>
    <row r="13" customFormat="false" ht="15" hidden="false" customHeight="false" outlineLevel="0" collapsed="false">
      <c r="A13" s="26" t="s">
        <v>352</v>
      </c>
      <c r="B13" s="30" t="n">
        <v>1</v>
      </c>
      <c r="C13" s="47" t="n">
        <f aca="false">VLOOKUP(A13,ACTIVIDADES!$A$5:$D$50,4,FALSE())</f>
        <v>1</v>
      </c>
      <c r="D13" s="47" t="n">
        <f aca="false">VLOOKUP(A13,ACTIVIDADES!$A$5:$F$50,6,FALSE())</f>
        <v>15</v>
      </c>
      <c r="E13" s="47" t="n">
        <f aca="false">VLOOKUP(A13,ACTIVIDADES!$A$5:$G$50,7,FALSE())</f>
        <v>4</v>
      </c>
      <c r="F13" s="28" t="n">
        <v>1</v>
      </c>
      <c r="G13" s="28" t="n">
        <v>1</v>
      </c>
      <c r="H13" s="44" t="n">
        <f aca="false">D13+E13+F13+G13</f>
        <v>21</v>
      </c>
      <c r="I13" s="44" t="n">
        <f aca="false">D13+E13+F13</f>
        <v>20</v>
      </c>
      <c r="J13" s="28" t="n">
        <v>0</v>
      </c>
      <c r="K13" s="40" t="n">
        <f aca="false">H13*(J13*manut_dia+(C13-J13)*manut_med)</f>
        <v>392.7</v>
      </c>
      <c r="L13" s="40" t="n">
        <f aca="false">I13*J13*alojamiento</f>
        <v>0</v>
      </c>
      <c r="M13" s="40" t="n">
        <f aca="false">C13*bus_dia*CEILING(I13/cap_bus,1)</f>
        <v>700</v>
      </c>
      <c r="N13" s="41" t="n">
        <f aca="false">K13+L13+M13</f>
        <v>1092.7</v>
      </c>
      <c r="O13" s="48" t="n">
        <v>0.6</v>
      </c>
      <c r="P13" s="40" t="n">
        <f aca="false">N13*O13</f>
        <v>655.62</v>
      </c>
      <c r="Q13" s="40" t="n">
        <f aca="false">N13*(1-O13)</f>
        <v>437.08</v>
      </c>
      <c r="R13" s="28" t="s">
        <v>347</v>
      </c>
    </row>
    <row r="14" customFormat="false" ht="15" hidden="false" customHeight="false" outlineLevel="0" collapsed="false">
      <c r="A14" s="26" t="s">
        <v>355</v>
      </c>
      <c r="B14" s="30" t="n">
        <v>1</v>
      </c>
      <c r="C14" s="47" t="n">
        <f aca="false">VLOOKUP(A14,ACTIVIDADES!$A$5:$D$50,4,FALSE())</f>
        <v>2</v>
      </c>
      <c r="D14" s="47" t="n">
        <f aca="false">VLOOKUP(A14,ACTIVIDADES!$A$5:$F$50,6,FALSE())</f>
        <v>12</v>
      </c>
      <c r="E14" s="47" t="n">
        <f aca="false">VLOOKUP(A14,ACTIVIDADES!$A$5:$G$50,7,FALSE())</f>
        <v>6</v>
      </c>
      <c r="F14" s="28" t="n">
        <v>1</v>
      </c>
      <c r="G14" s="28" t="n">
        <v>1</v>
      </c>
      <c r="H14" s="44" t="n">
        <f aca="false">D14+E14+F14+G14</f>
        <v>20</v>
      </c>
      <c r="I14" s="44" t="n">
        <f aca="false">D14+E14+F14</f>
        <v>19</v>
      </c>
      <c r="J14" s="28" t="n">
        <v>1</v>
      </c>
      <c r="K14" s="40" t="n">
        <f aca="false">H14*(J14*manut_dia+(C14-J14)*manut_med)</f>
        <v>1122</v>
      </c>
      <c r="L14" s="40" t="n">
        <f aca="false">I14*J14*alojamiento</f>
        <v>1253.43</v>
      </c>
      <c r="M14" s="40" t="n">
        <f aca="false">C14*bus_dia*CEILING(I14/cap_bus,1)</f>
        <v>1400</v>
      </c>
      <c r="N14" s="41" t="n">
        <f aca="false">K14+L14+M14</f>
        <v>3775.43</v>
      </c>
      <c r="O14" s="48" t="n">
        <v>0.7</v>
      </c>
      <c r="P14" s="40" t="n">
        <f aca="false">N14*O14</f>
        <v>2642.801</v>
      </c>
      <c r="Q14" s="40" t="n">
        <f aca="false">N14*(1-O14)</f>
        <v>1132.629</v>
      </c>
      <c r="R14" s="28" t="s">
        <v>331</v>
      </c>
    </row>
    <row r="15" customFormat="false" ht="15" hidden="false" customHeight="false" outlineLevel="0" collapsed="false">
      <c r="A15" s="26" t="s">
        <v>359</v>
      </c>
      <c r="B15" s="30" t="n">
        <v>1</v>
      </c>
      <c r="C15" s="47" t="n">
        <f aca="false">VLOOKUP(A15,ACTIVIDADES!$A$5:$D$50,4,FALSE())</f>
        <v>1</v>
      </c>
      <c r="D15" s="47" t="n">
        <f aca="false">VLOOKUP(A15,ACTIVIDADES!$A$5:$F$50,6,FALSE())</f>
        <v>12</v>
      </c>
      <c r="E15" s="47" t="n">
        <f aca="false">VLOOKUP(A15,ACTIVIDADES!$A$5:$G$50,7,FALSE())</f>
        <v>6</v>
      </c>
      <c r="F15" s="28" t="n">
        <v>1</v>
      </c>
      <c r="G15" s="28" t="n">
        <v>1</v>
      </c>
      <c r="H15" s="44" t="n">
        <f aca="false">D15+E15+F15+G15</f>
        <v>20</v>
      </c>
      <c r="I15" s="44" t="n">
        <f aca="false">D15+E15+F15</f>
        <v>19</v>
      </c>
      <c r="J15" s="28" t="n">
        <v>0</v>
      </c>
      <c r="K15" s="40" t="n">
        <f aca="false">H15*(J15*manut_dia+(C15-J15)*manut_med)</f>
        <v>374</v>
      </c>
      <c r="L15" s="40" t="n">
        <f aca="false">I15*J15*alojamiento</f>
        <v>0</v>
      </c>
      <c r="M15" s="40" t="n">
        <f aca="false">C15*bus_dia*CEILING(I15/cap_bus,1)</f>
        <v>700</v>
      </c>
      <c r="N15" s="41" t="n">
        <f aca="false">K15+L15+M15</f>
        <v>1074</v>
      </c>
      <c r="O15" s="48" t="n">
        <v>0.7</v>
      </c>
      <c r="P15" s="40" t="n">
        <f aca="false">N15*O15</f>
        <v>751.8</v>
      </c>
      <c r="Q15" s="40" t="n">
        <f aca="false">N15*(1-O15)</f>
        <v>322.2</v>
      </c>
      <c r="R15" s="28" t="s">
        <v>331</v>
      </c>
    </row>
    <row r="16" customFormat="false" ht="15" hidden="false" customHeight="false" outlineLevel="0" collapsed="false">
      <c r="A16" s="26" t="s">
        <v>361</v>
      </c>
      <c r="B16" s="30" t="n">
        <v>1</v>
      </c>
      <c r="C16" s="47" t="n">
        <f aca="false">VLOOKUP(A16,ACTIVIDADES!$A$5:$D$50,4,FALSE())</f>
        <v>2</v>
      </c>
      <c r="D16" s="47" t="n">
        <f aca="false">VLOOKUP(A16,ACTIVIDADES!$A$5:$F$50,6,FALSE())</f>
        <v>12</v>
      </c>
      <c r="E16" s="47" t="n">
        <f aca="false">VLOOKUP(A16,ACTIVIDADES!$A$5:$G$50,7,FALSE())</f>
        <v>8</v>
      </c>
      <c r="F16" s="28" t="n">
        <v>1</v>
      </c>
      <c r="G16" s="28" t="n">
        <v>2</v>
      </c>
      <c r="H16" s="44" t="n">
        <f aca="false">D16+E16+F16+G16</f>
        <v>23</v>
      </c>
      <c r="I16" s="44" t="n">
        <f aca="false">D16+E16+F16</f>
        <v>21</v>
      </c>
      <c r="J16" s="28" t="n">
        <v>1</v>
      </c>
      <c r="K16" s="40" t="n">
        <f aca="false">H16*(J16*manut_dia+(C16-J16)*manut_med)</f>
        <v>1290.3</v>
      </c>
      <c r="L16" s="40" t="n">
        <f aca="false">I16*J16*alojamiento</f>
        <v>1385.37</v>
      </c>
      <c r="M16" s="40" t="n">
        <f aca="false">C16*bus_dia*CEILING(I16/cap_bus,1)</f>
        <v>1400</v>
      </c>
      <c r="N16" s="41" t="n">
        <f aca="false">K16+L16+M16</f>
        <v>4075.67</v>
      </c>
      <c r="O16" s="48" t="n">
        <v>0.4</v>
      </c>
      <c r="P16" s="40" t="n">
        <f aca="false">N16*O16</f>
        <v>1630.268</v>
      </c>
      <c r="Q16" s="40" t="n">
        <f aca="false">N16*(1-O16)</f>
        <v>2445.402</v>
      </c>
      <c r="R16" s="28" t="s">
        <v>347</v>
      </c>
    </row>
    <row r="17" customFormat="false" ht="15" hidden="false" customHeight="false" outlineLevel="0" collapsed="false">
      <c r="A17" s="26" t="s">
        <v>365</v>
      </c>
      <c r="B17" s="30" t="n">
        <v>1</v>
      </c>
      <c r="C17" s="47" t="n">
        <f aca="false">VLOOKUP(A17,ACTIVIDADES!$A$5:$D$50,4,FALSE())</f>
        <v>1</v>
      </c>
      <c r="D17" s="47" t="n">
        <f aca="false">VLOOKUP(A17,ACTIVIDADES!$A$5:$F$50,6,FALSE())</f>
        <v>12</v>
      </c>
      <c r="E17" s="47" t="n">
        <f aca="false">VLOOKUP(A17,ACTIVIDADES!$A$5:$G$50,7,FALSE())</f>
        <v>8</v>
      </c>
      <c r="F17" s="28" t="n">
        <v>1</v>
      </c>
      <c r="G17" s="28" t="n">
        <v>2</v>
      </c>
      <c r="H17" s="44" t="n">
        <f aca="false">D17+E17+F17+G17</f>
        <v>23</v>
      </c>
      <c r="I17" s="44" t="n">
        <f aca="false">D17+E17+F17</f>
        <v>21</v>
      </c>
      <c r="J17" s="28" t="n">
        <v>0</v>
      </c>
      <c r="K17" s="40" t="n">
        <f aca="false">H17*(J17*manut_dia+(C17-J17)*manut_med)</f>
        <v>430.1</v>
      </c>
      <c r="L17" s="40" t="n">
        <f aca="false">I17*J17*alojamiento</f>
        <v>0</v>
      </c>
      <c r="M17" s="40" t="n">
        <f aca="false">C17*bus_dia*CEILING(I17/cap_bus,1)</f>
        <v>700</v>
      </c>
      <c r="N17" s="41" t="n">
        <f aca="false">K17+L17+M17</f>
        <v>1130.1</v>
      </c>
      <c r="O17" s="48" t="n">
        <v>0.4</v>
      </c>
      <c r="P17" s="40" t="n">
        <f aca="false">N17*O17</f>
        <v>452.04</v>
      </c>
      <c r="Q17" s="40" t="n">
        <f aca="false">N17*(1-O17)</f>
        <v>678.06</v>
      </c>
      <c r="R17" s="28" t="s">
        <v>347</v>
      </c>
    </row>
    <row r="18" customFormat="false" ht="15" hidden="false" customHeight="false" outlineLevel="0" collapsed="false">
      <c r="A18" s="26" t="s">
        <v>367</v>
      </c>
      <c r="B18" s="30" t="n">
        <v>1</v>
      </c>
      <c r="C18" s="47" t="n">
        <f aca="false">VLOOKUP(A18,ACTIVIDADES!$A$5:$D$50,4,FALSE())</f>
        <v>2</v>
      </c>
      <c r="D18" s="47" t="n">
        <f aca="false">VLOOKUP(A18,ACTIVIDADES!$A$5:$F$50,6,FALSE())</f>
        <v>12</v>
      </c>
      <c r="E18" s="47" t="n">
        <f aca="false">VLOOKUP(A18,ACTIVIDADES!$A$5:$G$50,7,FALSE())</f>
        <v>8</v>
      </c>
      <c r="F18" s="28" t="n">
        <v>1</v>
      </c>
      <c r="G18" s="28" t="n">
        <v>2</v>
      </c>
      <c r="H18" s="44" t="n">
        <f aca="false">D18+E18+F18+G18</f>
        <v>23</v>
      </c>
      <c r="I18" s="44" t="n">
        <f aca="false">D18+E18+F18</f>
        <v>21</v>
      </c>
      <c r="J18" s="28" t="n">
        <v>1</v>
      </c>
      <c r="K18" s="40" t="n">
        <f aca="false">H18*(J18*manut_dia+(C18-J18)*manut_med)</f>
        <v>1290.3</v>
      </c>
      <c r="L18" s="40" t="n">
        <f aca="false">I18*J18*alojamiento</f>
        <v>1385.37</v>
      </c>
      <c r="M18" s="40" t="n">
        <f aca="false">C18*bus_dia*CEILING(I18/cap_bus,1)</f>
        <v>1400</v>
      </c>
      <c r="N18" s="41" t="n">
        <f aca="false">K18+L18+M18</f>
        <v>4075.67</v>
      </c>
      <c r="O18" s="48" t="n">
        <v>0.4</v>
      </c>
      <c r="P18" s="40" t="n">
        <f aca="false">N18*O18</f>
        <v>1630.268</v>
      </c>
      <c r="Q18" s="40" t="n">
        <f aca="false">N18*(1-O18)</f>
        <v>2445.402</v>
      </c>
      <c r="R18" s="28" t="s">
        <v>347</v>
      </c>
    </row>
    <row r="19" customFormat="false" ht="15" hidden="false" customHeight="false" outlineLevel="0" collapsed="false">
      <c r="A19" s="26" t="s">
        <v>370</v>
      </c>
      <c r="B19" s="30" t="n">
        <v>1</v>
      </c>
      <c r="C19" s="47" t="n">
        <f aca="false">VLOOKUP(A19,ACTIVIDADES!$A$5:$D$50,4,FALSE())</f>
        <v>1</v>
      </c>
      <c r="D19" s="47" t="n">
        <f aca="false">VLOOKUP(A19,ACTIVIDADES!$A$5:$F$50,6,FALSE())</f>
        <v>12</v>
      </c>
      <c r="E19" s="47" t="n">
        <f aca="false">VLOOKUP(A19,ACTIVIDADES!$A$5:$G$50,7,FALSE())</f>
        <v>8</v>
      </c>
      <c r="F19" s="28" t="n">
        <v>1</v>
      </c>
      <c r="G19" s="28" t="n">
        <v>1</v>
      </c>
      <c r="H19" s="44" t="n">
        <f aca="false">D19+E19+F19+G19</f>
        <v>22</v>
      </c>
      <c r="I19" s="44" t="n">
        <f aca="false">D19+E19+F19</f>
        <v>21</v>
      </c>
      <c r="J19" s="28" t="n">
        <v>0</v>
      </c>
      <c r="K19" s="40" t="n">
        <f aca="false">H19*(J19*manut_dia+(C19-J19)*manut_med)</f>
        <v>411.4</v>
      </c>
      <c r="L19" s="40" t="n">
        <f aca="false">I19*J19*alojamiento</f>
        <v>0</v>
      </c>
      <c r="M19" s="40" t="n">
        <f aca="false">C19*bus_dia*CEILING(I19/cap_bus,1)</f>
        <v>700</v>
      </c>
      <c r="N19" s="41" t="n">
        <f aca="false">K19+L19+M19</f>
        <v>1111.4</v>
      </c>
      <c r="O19" s="48" t="n">
        <v>0.4</v>
      </c>
      <c r="P19" s="40" t="n">
        <f aca="false">N19*O19</f>
        <v>444.56</v>
      </c>
      <c r="Q19" s="40" t="n">
        <f aca="false">N19*(1-O19)</f>
        <v>666.84</v>
      </c>
      <c r="R19" s="28" t="s">
        <v>347</v>
      </c>
    </row>
    <row r="20" customFormat="false" ht="15" hidden="false" customHeight="false" outlineLevel="0" collapsed="false">
      <c r="A20" s="26" t="s">
        <v>373</v>
      </c>
      <c r="B20" s="30" t="n">
        <v>1</v>
      </c>
      <c r="C20" s="47" t="n">
        <f aca="false">VLOOKUP(A20,ACTIVIDADES!$A$5:$D$50,4,FALSE())</f>
        <v>1</v>
      </c>
      <c r="D20" s="47" t="n">
        <f aca="false">VLOOKUP(A20,ACTIVIDADES!$A$5:$F$50,6,FALSE())</f>
        <v>12</v>
      </c>
      <c r="E20" s="47" t="n">
        <f aca="false">VLOOKUP(A20,ACTIVIDADES!$A$5:$G$50,7,FALSE())</f>
        <v>4</v>
      </c>
      <c r="F20" s="28" t="n">
        <v>1</v>
      </c>
      <c r="G20" s="28" t="n">
        <v>1</v>
      </c>
      <c r="H20" s="44" t="n">
        <f aca="false">D20+E20+F20+G20</f>
        <v>18</v>
      </c>
      <c r="I20" s="44" t="n">
        <f aca="false">D20+E20+F20</f>
        <v>17</v>
      </c>
      <c r="J20" s="28" t="n">
        <v>0</v>
      </c>
      <c r="K20" s="40" t="n">
        <f aca="false">H20*(J20*manut_dia+(C20-J20)*manut_med)</f>
        <v>336.6</v>
      </c>
      <c r="L20" s="40" t="n">
        <f aca="false">I20*J20*alojamiento</f>
        <v>0</v>
      </c>
      <c r="M20" s="40" t="n">
        <f aca="false">C20*bus_dia*CEILING(I20/cap_bus,1)</f>
        <v>700</v>
      </c>
      <c r="N20" s="41" t="n">
        <f aca="false">K20+L20+M20</f>
        <v>1036.6</v>
      </c>
      <c r="O20" s="48" t="n">
        <v>0.5</v>
      </c>
      <c r="P20" s="40" t="n">
        <f aca="false">N20*O20</f>
        <v>518.3</v>
      </c>
      <c r="Q20" s="40" t="n">
        <f aca="false">N20*(1-O20)</f>
        <v>518.3</v>
      </c>
      <c r="R20" s="28" t="s">
        <v>347</v>
      </c>
    </row>
    <row r="21" customFormat="false" ht="15" hidden="false" customHeight="false" outlineLevel="0" collapsed="false">
      <c r="A21" s="26" t="s">
        <v>376</v>
      </c>
      <c r="B21" s="30" t="n">
        <v>1</v>
      </c>
      <c r="C21" s="47" t="n">
        <f aca="false">VLOOKUP(A21,ACTIVIDADES!$A$5:$D$50,4,FALSE())</f>
        <v>1</v>
      </c>
      <c r="D21" s="47" t="n">
        <f aca="false">VLOOKUP(A21,ACTIVIDADES!$A$5:$F$50,6,FALSE())</f>
        <v>12</v>
      </c>
      <c r="E21" s="47" t="n">
        <f aca="false">VLOOKUP(A21,ACTIVIDADES!$A$5:$G$50,7,FALSE())</f>
        <v>4</v>
      </c>
      <c r="F21" s="28" t="n">
        <v>1</v>
      </c>
      <c r="G21" s="28" t="n">
        <v>1</v>
      </c>
      <c r="H21" s="44" t="n">
        <f aca="false">D21+E21+F21+G21</f>
        <v>18</v>
      </c>
      <c r="I21" s="44" t="n">
        <f aca="false">D21+E21+F21</f>
        <v>17</v>
      </c>
      <c r="J21" s="28" t="n">
        <v>0</v>
      </c>
      <c r="K21" s="40" t="n">
        <f aca="false">H21*(J21*manut_dia+(C21-J21)*manut_med)</f>
        <v>336.6</v>
      </c>
      <c r="L21" s="40" t="n">
        <f aca="false">I21*J21*alojamiento</f>
        <v>0</v>
      </c>
      <c r="M21" s="40" t="n">
        <f aca="false">C21*bus_dia*CEILING(I21/cap_bus,1)</f>
        <v>700</v>
      </c>
      <c r="N21" s="41" t="n">
        <f aca="false">K21+L21+M21</f>
        <v>1036.6</v>
      </c>
      <c r="O21" s="48" t="n">
        <v>0.5</v>
      </c>
      <c r="P21" s="40" t="n">
        <f aca="false">N21*O21</f>
        <v>518.3</v>
      </c>
      <c r="Q21" s="40" t="n">
        <f aca="false">N21*(1-O21)</f>
        <v>518.3</v>
      </c>
      <c r="R21" s="28" t="s">
        <v>347</v>
      </c>
    </row>
    <row r="22" customFormat="false" ht="15" hidden="false" customHeight="false" outlineLevel="0" collapsed="false">
      <c r="A22" s="26" t="s">
        <v>378</v>
      </c>
      <c r="B22" s="30" t="n">
        <v>1</v>
      </c>
      <c r="C22" s="47" t="n">
        <f aca="false">VLOOKUP(A22,ACTIVIDADES!$A$5:$D$50,4,FALSE())</f>
        <v>2</v>
      </c>
      <c r="D22" s="47" t="n">
        <f aca="false">VLOOKUP(A22,ACTIVIDADES!$A$5:$F$50,6,FALSE())</f>
        <v>12</v>
      </c>
      <c r="E22" s="47" t="n">
        <f aca="false">VLOOKUP(A22,ACTIVIDADES!$A$5:$G$50,7,FALSE())</f>
        <v>6</v>
      </c>
      <c r="F22" s="28" t="n">
        <v>2</v>
      </c>
      <c r="G22" s="28" t="n">
        <v>1</v>
      </c>
      <c r="H22" s="44" t="n">
        <f aca="false">D22+E22+F22+G22</f>
        <v>21</v>
      </c>
      <c r="I22" s="44" t="n">
        <f aca="false">D22+E22+F22</f>
        <v>20</v>
      </c>
      <c r="J22" s="28" t="n">
        <v>1</v>
      </c>
      <c r="K22" s="40" t="n">
        <f aca="false">H22*(J22*manut_dia+(C22-J22)*manut_med)</f>
        <v>1178.1</v>
      </c>
      <c r="L22" s="40" t="n">
        <f aca="false">I22*J22*alojamiento</f>
        <v>1319.4</v>
      </c>
      <c r="M22" s="40" t="n">
        <f aca="false">C22*bus_dia*CEILING(I22/cap_bus,1)</f>
        <v>1400</v>
      </c>
      <c r="N22" s="41" t="n">
        <f aca="false">K22+L22+M22</f>
        <v>3897.5</v>
      </c>
      <c r="O22" s="48" t="n">
        <v>0.6</v>
      </c>
      <c r="P22" s="40" t="n">
        <f aca="false">N22*O22</f>
        <v>2338.5</v>
      </c>
      <c r="Q22" s="40" t="n">
        <f aca="false">N22*(1-O22)</f>
        <v>1559</v>
      </c>
      <c r="R22" s="28" t="s">
        <v>347</v>
      </c>
    </row>
    <row r="23" customFormat="false" ht="15" hidden="false" customHeight="false" outlineLevel="0" collapsed="false">
      <c r="A23" s="26" t="s">
        <v>381</v>
      </c>
      <c r="B23" s="30" t="n">
        <v>1</v>
      </c>
      <c r="C23" s="47" t="n">
        <f aca="false">VLOOKUP(A23,ACTIVIDADES!$A$5:$D$50,4,FALSE())</f>
        <v>1</v>
      </c>
      <c r="D23" s="47" t="n">
        <f aca="false">VLOOKUP(A23,ACTIVIDADES!$A$5:$F$50,6,FALSE())</f>
        <v>15</v>
      </c>
      <c r="E23" s="47" t="n">
        <f aca="false">VLOOKUP(A23,ACTIVIDADES!$A$5:$G$50,7,FALSE())</f>
        <v>5</v>
      </c>
      <c r="F23" s="28" t="n">
        <v>1</v>
      </c>
      <c r="G23" s="28" t="n">
        <v>1</v>
      </c>
      <c r="H23" s="44" t="n">
        <f aca="false">D23+E23+F23+G23</f>
        <v>22</v>
      </c>
      <c r="I23" s="44" t="n">
        <f aca="false">D23+E23+F23</f>
        <v>21</v>
      </c>
      <c r="J23" s="28" t="n">
        <v>0</v>
      </c>
      <c r="K23" s="40" t="n">
        <f aca="false">H23*(J23*manut_dia+(C23-J23)*manut_med)</f>
        <v>411.4</v>
      </c>
      <c r="L23" s="40" t="n">
        <f aca="false">I23*J23*alojamiento</f>
        <v>0</v>
      </c>
      <c r="M23" s="40" t="n">
        <f aca="false">C23*bus_dia*CEILING(I23/cap_bus,1)</f>
        <v>700</v>
      </c>
      <c r="N23" s="41" t="n">
        <f aca="false">K23+L23+M23</f>
        <v>1111.4</v>
      </c>
      <c r="O23" s="48" t="n">
        <v>0.6</v>
      </c>
      <c r="P23" s="40" t="n">
        <f aca="false">N23*O23</f>
        <v>666.84</v>
      </c>
      <c r="Q23" s="40" t="n">
        <f aca="false">N23*(1-O23)</f>
        <v>444.56</v>
      </c>
      <c r="R23" s="28" t="s">
        <v>347</v>
      </c>
    </row>
    <row r="24" customFormat="false" ht="15" hidden="false" customHeight="false" outlineLevel="0" collapsed="false">
      <c r="A24" s="26" t="s">
        <v>381</v>
      </c>
      <c r="B24" s="30" t="n">
        <v>2</v>
      </c>
      <c r="C24" s="47" t="n">
        <f aca="false">VLOOKUP(A24,ACTIVIDADES!$A$5:$D$50,4,FALSE())</f>
        <v>1</v>
      </c>
      <c r="D24" s="47" t="n">
        <f aca="false">VLOOKUP(A24,ACTIVIDADES!$A$5:$F$50,6,FALSE())</f>
        <v>15</v>
      </c>
      <c r="E24" s="47" t="n">
        <f aca="false">VLOOKUP(A24,ACTIVIDADES!$A$5:$G$50,7,FALSE())</f>
        <v>5</v>
      </c>
      <c r="F24" s="28" t="n">
        <v>1</v>
      </c>
      <c r="G24" s="28" t="n">
        <v>1</v>
      </c>
      <c r="H24" s="44" t="n">
        <f aca="false">D24+E24+F24+G24</f>
        <v>22</v>
      </c>
      <c r="I24" s="44" t="n">
        <f aca="false">D24+E24+F24</f>
        <v>21</v>
      </c>
      <c r="J24" s="28" t="n">
        <v>0</v>
      </c>
      <c r="K24" s="40" t="n">
        <f aca="false">H24*(J24*manut_dia+(C24-J24)*manut_med)</f>
        <v>411.4</v>
      </c>
      <c r="L24" s="40" t="n">
        <f aca="false">I24*J24*alojamiento</f>
        <v>0</v>
      </c>
      <c r="M24" s="40" t="n">
        <f aca="false">C24*bus_dia*CEILING(I24/cap_bus,1)</f>
        <v>700</v>
      </c>
      <c r="N24" s="41" t="n">
        <f aca="false">K24+L24+M24</f>
        <v>1111.4</v>
      </c>
      <c r="O24" s="48" t="n">
        <v>0.6</v>
      </c>
      <c r="P24" s="40" t="n">
        <f aca="false">N24*O24</f>
        <v>666.84</v>
      </c>
      <c r="Q24" s="40" t="n">
        <f aca="false">N24*(1-O24)</f>
        <v>444.56</v>
      </c>
      <c r="R24" s="28" t="s">
        <v>347</v>
      </c>
    </row>
    <row r="25" customFormat="false" ht="15" hidden="false" customHeight="false" outlineLevel="0" collapsed="false">
      <c r="A25" s="26" t="s">
        <v>384</v>
      </c>
      <c r="B25" s="30" t="n">
        <v>1</v>
      </c>
      <c r="C25" s="47" t="n">
        <f aca="false">VLOOKUP(A25,ACTIVIDADES!$A$5:$D$50,4,FALSE())</f>
        <v>1</v>
      </c>
      <c r="D25" s="47" t="n">
        <f aca="false">VLOOKUP(A25,ACTIVIDADES!$A$5:$F$50,6,FALSE())</f>
        <v>15</v>
      </c>
      <c r="E25" s="47" t="n">
        <f aca="false">VLOOKUP(A25,ACTIVIDADES!$A$5:$G$50,7,FALSE())</f>
        <v>5</v>
      </c>
      <c r="F25" s="28" t="n">
        <v>1</v>
      </c>
      <c r="G25" s="28" t="n">
        <v>1</v>
      </c>
      <c r="H25" s="44" t="n">
        <f aca="false">D25+E25+F25+G25</f>
        <v>22</v>
      </c>
      <c r="I25" s="44" t="n">
        <f aca="false">D25+E25+F25</f>
        <v>21</v>
      </c>
      <c r="J25" s="28" t="n">
        <v>0</v>
      </c>
      <c r="K25" s="40" t="n">
        <f aca="false">H25*(J25*manut_dia+(C25-J25)*manut_med)</f>
        <v>411.4</v>
      </c>
      <c r="L25" s="40" t="n">
        <f aca="false">I25*J25*alojamiento</f>
        <v>0</v>
      </c>
      <c r="M25" s="40" t="n">
        <f aca="false">C25*bus_dia*CEILING(I25/cap_bus,1)</f>
        <v>700</v>
      </c>
      <c r="N25" s="41" t="n">
        <f aca="false">K25+L25+M25</f>
        <v>1111.4</v>
      </c>
      <c r="O25" s="48" t="n">
        <v>0.3</v>
      </c>
      <c r="P25" s="40" t="n">
        <f aca="false">N25*O25</f>
        <v>333.42</v>
      </c>
      <c r="Q25" s="40" t="n">
        <f aca="false">N25*(1-O25)</f>
        <v>777.98</v>
      </c>
      <c r="R25" s="28" t="s">
        <v>347</v>
      </c>
    </row>
    <row r="26" customFormat="false" ht="15" hidden="false" customHeight="false" outlineLevel="0" collapsed="false">
      <c r="A26" s="26" t="s">
        <v>387</v>
      </c>
      <c r="B26" s="30" t="n">
        <v>1</v>
      </c>
      <c r="C26" s="47" t="n">
        <f aca="false">VLOOKUP(A26,ACTIVIDADES!$A$5:$D$50,4,FALSE())</f>
        <v>1</v>
      </c>
      <c r="D26" s="47" t="n">
        <f aca="false">VLOOKUP(A26,ACTIVIDADES!$A$5:$F$50,6,FALSE())</f>
        <v>15</v>
      </c>
      <c r="E26" s="47" t="n">
        <f aca="false">VLOOKUP(A26,ACTIVIDADES!$A$5:$G$50,7,FALSE())</f>
        <v>5</v>
      </c>
      <c r="F26" s="28" t="n">
        <v>1</v>
      </c>
      <c r="G26" s="28" t="n">
        <v>1</v>
      </c>
      <c r="H26" s="44" t="n">
        <f aca="false">D26+E26+F26+G26</f>
        <v>22</v>
      </c>
      <c r="I26" s="44" t="n">
        <f aca="false">D26+E26+F26</f>
        <v>21</v>
      </c>
      <c r="J26" s="28" t="n">
        <v>0</v>
      </c>
      <c r="K26" s="40" t="n">
        <f aca="false">H26*(J26*manut_dia+(C26-J26)*manut_med)</f>
        <v>411.4</v>
      </c>
      <c r="L26" s="40" t="n">
        <f aca="false">I26*J26*alojamiento</f>
        <v>0</v>
      </c>
      <c r="M26" s="40" t="n">
        <f aca="false">C26*bus_dia*CEILING(I26/cap_bus,1)</f>
        <v>700</v>
      </c>
      <c r="N26" s="41" t="n">
        <f aca="false">K26+L26+M26</f>
        <v>1111.4</v>
      </c>
      <c r="O26" s="48" t="n">
        <v>0.3</v>
      </c>
      <c r="P26" s="40" t="n">
        <f aca="false">N26*O26</f>
        <v>333.42</v>
      </c>
      <c r="Q26" s="40" t="n">
        <f aca="false">N26*(1-O26)</f>
        <v>777.98</v>
      </c>
      <c r="R26" s="28" t="s">
        <v>347</v>
      </c>
    </row>
    <row r="27" customFormat="false" ht="15" hidden="false" customHeight="false" outlineLevel="0" collapsed="false">
      <c r="A27" s="26" t="s">
        <v>390</v>
      </c>
      <c r="B27" s="30" t="n">
        <v>1</v>
      </c>
      <c r="C27" s="47" t="n">
        <f aca="false">VLOOKUP(A27,ACTIVIDADES!$A$5:$D$50,4,FALSE())</f>
        <v>1</v>
      </c>
      <c r="D27" s="47" t="n">
        <f aca="false">VLOOKUP(A27,ACTIVIDADES!$A$5:$F$50,6,FALSE())</f>
        <v>15</v>
      </c>
      <c r="E27" s="47" t="n">
        <f aca="false">VLOOKUP(A27,ACTIVIDADES!$A$5:$G$50,7,FALSE())</f>
        <v>5</v>
      </c>
      <c r="F27" s="28" t="n">
        <v>1</v>
      </c>
      <c r="G27" s="28" t="n">
        <v>1</v>
      </c>
      <c r="H27" s="44" t="n">
        <f aca="false">D27+E27+F27+G27</f>
        <v>22</v>
      </c>
      <c r="I27" s="44" t="n">
        <f aca="false">D27+E27+F27</f>
        <v>21</v>
      </c>
      <c r="J27" s="28" t="n">
        <v>0</v>
      </c>
      <c r="K27" s="40" t="n">
        <f aca="false">H27*(J27*manut_dia+(C27-J27)*manut_med)</f>
        <v>411.4</v>
      </c>
      <c r="L27" s="40" t="n">
        <f aca="false">I27*J27*alojamiento</f>
        <v>0</v>
      </c>
      <c r="M27" s="40" t="n">
        <f aca="false">C27*bus_dia*CEILING(I27/cap_bus,1)</f>
        <v>700</v>
      </c>
      <c r="N27" s="41" t="n">
        <f aca="false">K27+L27+M27</f>
        <v>1111.4</v>
      </c>
      <c r="O27" s="48" t="n">
        <v>0.3</v>
      </c>
      <c r="P27" s="40" t="n">
        <f aca="false">N27*O27</f>
        <v>333.42</v>
      </c>
      <c r="Q27" s="40" t="n">
        <f aca="false">N27*(1-O27)</f>
        <v>777.98</v>
      </c>
      <c r="R27" s="28" t="s">
        <v>347</v>
      </c>
    </row>
    <row r="28" customFormat="false" ht="15" hidden="false" customHeight="false" outlineLevel="0" collapsed="false">
      <c r="A28" s="26" t="s">
        <v>393</v>
      </c>
      <c r="B28" s="30" t="n">
        <v>1</v>
      </c>
      <c r="C28" s="47" t="n">
        <f aca="false">VLOOKUP(A28,ACTIVIDADES!$A$5:$D$50,4,FALSE())</f>
        <v>1</v>
      </c>
      <c r="D28" s="47" t="n">
        <f aca="false">VLOOKUP(A28,ACTIVIDADES!$A$5:$F$50,6,FALSE())</f>
        <v>15</v>
      </c>
      <c r="E28" s="47" t="n">
        <f aca="false">VLOOKUP(A28,ACTIVIDADES!$A$5:$G$50,7,FALSE())</f>
        <v>5</v>
      </c>
      <c r="F28" s="28" t="n">
        <v>1</v>
      </c>
      <c r="G28" s="28" t="n">
        <v>1</v>
      </c>
      <c r="H28" s="44" t="n">
        <f aca="false">D28+E28+F28+G28</f>
        <v>22</v>
      </c>
      <c r="I28" s="44" t="n">
        <f aca="false">D28+E28+F28</f>
        <v>21</v>
      </c>
      <c r="J28" s="28" t="n">
        <v>0</v>
      </c>
      <c r="K28" s="40" t="n">
        <f aca="false">H28*(J28*manut_dia+(C28-J28)*manut_med)</f>
        <v>411.4</v>
      </c>
      <c r="L28" s="40" t="n">
        <f aca="false">I28*J28*alojamiento</f>
        <v>0</v>
      </c>
      <c r="M28" s="40" t="n">
        <f aca="false">C28*bus_dia*CEILING(I28/cap_bus,1)</f>
        <v>700</v>
      </c>
      <c r="N28" s="41" t="n">
        <f aca="false">K28+L28+M28</f>
        <v>1111.4</v>
      </c>
      <c r="O28" s="48" t="n">
        <v>0.3</v>
      </c>
      <c r="P28" s="40" t="n">
        <f aca="false">N28*O28</f>
        <v>333.42</v>
      </c>
      <c r="Q28" s="40" t="n">
        <f aca="false">N28*(1-O28)</f>
        <v>777.98</v>
      </c>
      <c r="R28" s="28" t="s">
        <v>347</v>
      </c>
    </row>
    <row r="29" customFormat="false" ht="15" hidden="false" customHeight="false" outlineLevel="0" collapsed="false">
      <c r="A29" s="26" t="s">
        <v>396</v>
      </c>
      <c r="B29" s="30" t="n">
        <v>1</v>
      </c>
      <c r="C29" s="47" t="n">
        <f aca="false">VLOOKUP(A29,ACTIVIDADES!$A$5:$D$50,4,FALSE())</f>
        <v>1</v>
      </c>
      <c r="D29" s="47" t="n">
        <f aca="false">VLOOKUP(A29,ACTIVIDADES!$A$5:$F$50,6,FALSE())</f>
        <v>15</v>
      </c>
      <c r="E29" s="47" t="n">
        <f aca="false">VLOOKUP(A29,ACTIVIDADES!$A$5:$G$50,7,FALSE())</f>
        <v>5</v>
      </c>
      <c r="F29" s="28" t="n">
        <v>1</v>
      </c>
      <c r="G29" s="28" t="n">
        <v>1</v>
      </c>
      <c r="H29" s="44" t="n">
        <f aca="false">D29+E29+F29+G29</f>
        <v>22</v>
      </c>
      <c r="I29" s="44" t="n">
        <f aca="false">D29+E29+F29</f>
        <v>21</v>
      </c>
      <c r="J29" s="28" t="n">
        <v>0</v>
      </c>
      <c r="K29" s="40" t="n">
        <f aca="false">H29*(J29*manut_dia+(C29-J29)*manut_med)</f>
        <v>411.4</v>
      </c>
      <c r="L29" s="40" t="n">
        <f aca="false">I29*J29*alojamiento</f>
        <v>0</v>
      </c>
      <c r="M29" s="40" t="n">
        <f aca="false">C29*bus_dia*CEILING(I29/cap_bus,1)</f>
        <v>700</v>
      </c>
      <c r="N29" s="41" t="n">
        <f aca="false">K29+L29+M29</f>
        <v>1111.4</v>
      </c>
      <c r="O29" s="48" t="n">
        <v>0.3</v>
      </c>
      <c r="P29" s="40" t="n">
        <f aca="false">N29*O29</f>
        <v>333.42</v>
      </c>
      <c r="Q29" s="40" t="n">
        <f aca="false">N29*(1-O29)</f>
        <v>777.98</v>
      </c>
      <c r="R29" s="28" t="s">
        <v>347</v>
      </c>
    </row>
    <row r="30" customFormat="false" ht="15" hidden="false" customHeight="false" outlineLevel="0" collapsed="false">
      <c r="A30" s="26" t="s">
        <v>399</v>
      </c>
      <c r="B30" s="30" t="n">
        <v>1</v>
      </c>
      <c r="C30" s="47" t="n">
        <f aca="false">VLOOKUP(A30,ACTIVIDADES!$A$5:$D$50,4,FALSE())</f>
        <v>1</v>
      </c>
      <c r="D30" s="47" t="n">
        <f aca="false">VLOOKUP(A30,ACTIVIDADES!$A$5:$F$50,6,FALSE())</f>
        <v>30</v>
      </c>
      <c r="E30" s="47" t="n">
        <f aca="false">VLOOKUP(A30,ACTIVIDADES!$A$5:$G$50,7,FALSE())</f>
        <v>10</v>
      </c>
      <c r="F30" s="28" t="n">
        <v>2</v>
      </c>
      <c r="G30" s="28" t="n">
        <v>2</v>
      </c>
      <c r="H30" s="44" t="n">
        <f aca="false">D30+E30+F30+G30</f>
        <v>44</v>
      </c>
      <c r="I30" s="44" t="n">
        <f aca="false">D30+E30+F30</f>
        <v>42</v>
      </c>
      <c r="J30" s="28" t="n">
        <v>0</v>
      </c>
      <c r="K30" s="40" t="n">
        <f aca="false">H30*(J30*manut_dia+(C30-J30)*manut_med)</f>
        <v>822.8</v>
      </c>
      <c r="L30" s="40" t="n">
        <f aca="false">I30*J30*alojamiento</f>
        <v>0</v>
      </c>
      <c r="M30" s="40" t="n">
        <f aca="false">C30*bus_dia*CEILING(I30/cap_bus,1)</f>
        <v>700</v>
      </c>
      <c r="N30" s="41" t="n">
        <f aca="false">K30+L30+M30</f>
        <v>1522.8</v>
      </c>
      <c r="O30" s="48" t="n">
        <v>0.5</v>
      </c>
      <c r="P30" s="40" t="n">
        <f aca="false">N30*O30</f>
        <v>761.4</v>
      </c>
      <c r="Q30" s="40" t="n">
        <f aca="false">N30*(1-O30)</f>
        <v>761.4</v>
      </c>
      <c r="R30" s="28" t="s">
        <v>347</v>
      </c>
    </row>
    <row r="31" customFormat="false" ht="15" hidden="false" customHeight="false" outlineLevel="0" collapsed="false">
      <c r="A31" s="26" t="s">
        <v>402</v>
      </c>
      <c r="B31" s="30" t="n">
        <v>1</v>
      </c>
      <c r="C31" s="47" t="n">
        <f aca="false">VLOOKUP(A31,ACTIVIDADES!$A$5:$D$50,4,FALSE())</f>
        <v>1</v>
      </c>
      <c r="D31" s="47" t="n">
        <f aca="false">VLOOKUP(A31,ACTIVIDADES!$A$5:$F$50,6,FALSE())</f>
        <v>12</v>
      </c>
      <c r="E31" s="47" t="n">
        <f aca="false">VLOOKUP(A31,ACTIVIDADES!$A$5:$G$50,7,FALSE())</f>
        <v>6</v>
      </c>
      <c r="F31" s="28" t="n">
        <v>1</v>
      </c>
      <c r="G31" s="28" t="n">
        <v>1</v>
      </c>
      <c r="H31" s="44" t="n">
        <f aca="false">D31+E31+F31+G31</f>
        <v>20</v>
      </c>
      <c r="I31" s="44" t="n">
        <f aca="false">D31+E31+F31</f>
        <v>19</v>
      </c>
      <c r="J31" s="28" t="n">
        <v>0</v>
      </c>
      <c r="K31" s="40" t="n">
        <f aca="false">H31*(J31*manut_dia+(C31-J31)*manut_med)</f>
        <v>374</v>
      </c>
      <c r="L31" s="40" t="n">
        <f aca="false">I31*J31*alojamiento</f>
        <v>0</v>
      </c>
      <c r="M31" s="40" t="n">
        <f aca="false">C31*bus_dia*CEILING(I31/cap_bus,1)</f>
        <v>700</v>
      </c>
      <c r="N31" s="41" t="n">
        <f aca="false">K31+L31+M31</f>
        <v>1074</v>
      </c>
      <c r="O31" s="48" t="n">
        <v>0.85</v>
      </c>
      <c r="P31" s="40" t="n">
        <f aca="false">N31*O31</f>
        <v>912.9</v>
      </c>
      <c r="Q31" s="40" t="n">
        <f aca="false">N31*(1-O31)</f>
        <v>161.1</v>
      </c>
      <c r="R31" s="28" t="s">
        <v>331</v>
      </c>
    </row>
    <row r="32" customFormat="false" ht="15" hidden="false" customHeight="false" outlineLevel="0" collapsed="false">
      <c r="A32" s="26" t="s">
        <v>405</v>
      </c>
      <c r="B32" s="30" t="n">
        <v>1</v>
      </c>
      <c r="C32" s="47" t="n">
        <f aca="false">VLOOKUP(A32,ACTIVIDADES!$A$5:$D$50,4,FALSE())</f>
        <v>1</v>
      </c>
      <c r="D32" s="47" t="n">
        <f aca="false">VLOOKUP(A32,ACTIVIDADES!$A$5:$F$50,6,FALSE())</f>
        <v>12</v>
      </c>
      <c r="E32" s="47" t="n">
        <f aca="false">VLOOKUP(A32,ACTIVIDADES!$A$5:$G$50,7,FALSE())</f>
        <v>6</v>
      </c>
      <c r="F32" s="28" t="n">
        <v>1</v>
      </c>
      <c r="G32" s="28" t="n">
        <v>1</v>
      </c>
      <c r="H32" s="44" t="n">
        <f aca="false">D32+E32+F32+G32</f>
        <v>20</v>
      </c>
      <c r="I32" s="44" t="n">
        <f aca="false">D32+E32+F32</f>
        <v>19</v>
      </c>
      <c r="J32" s="28" t="n">
        <v>0</v>
      </c>
      <c r="K32" s="40" t="n">
        <f aca="false">H32*(J32*manut_dia+(C32-J32)*manut_med)</f>
        <v>374</v>
      </c>
      <c r="L32" s="40" t="n">
        <f aca="false">I32*J32*alojamiento</f>
        <v>0</v>
      </c>
      <c r="M32" s="40" t="n">
        <f aca="false">C32*bus_dia*CEILING(I32/cap_bus,1)</f>
        <v>700</v>
      </c>
      <c r="N32" s="41" t="n">
        <f aca="false">K32+L32+M32</f>
        <v>1074</v>
      </c>
      <c r="O32" s="48" t="n">
        <v>0.85</v>
      </c>
      <c r="P32" s="40" t="n">
        <f aca="false">N32*O32</f>
        <v>912.9</v>
      </c>
      <c r="Q32" s="40" t="n">
        <f aca="false">N32*(1-O32)</f>
        <v>161.1</v>
      </c>
      <c r="R32" s="28" t="s">
        <v>331</v>
      </c>
    </row>
    <row r="33" customFormat="false" ht="15" hidden="false" customHeight="false" outlineLevel="0" collapsed="false">
      <c r="A33" s="31"/>
      <c r="B33" s="32" t="s">
        <v>546</v>
      </c>
      <c r="C33" s="31"/>
      <c r="D33" s="42" t="n">
        <f aca="false">SUM(D5:D32)</f>
        <v>408</v>
      </c>
      <c r="E33" s="42" t="n">
        <f aca="false">SUM(E5:E32)</f>
        <v>157</v>
      </c>
      <c r="F33" s="42" t="n">
        <f aca="false">SUM(F5:F32)</f>
        <v>31</v>
      </c>
      <c r="G33" s="42" t="n">
        <f aca="false">SUM(G5:G32)</f>
        <v>32</v>
      </c>
      <c r="H33" s="31"/>
      <c r="I33" s="31"/>
      <c r="J33" s="31"/>
      <c r="K33" s="43" t="n">
        <f aca="false">SUM(K5:K32)</f>
        <v>18400.8</v>
      </c>
      <c r="L33" s="43" t="n">
        <f aca="false">SUM(L5:L32)</f>
        <v>11082.96</v>
      </c>
      <c r="M33" s="43" t="n">
        <f aca="false">SUM(M5:M32)</f>
        <v>25200</v>
      </c>
      <c r="N33" s="43" t="n">
        <f aca="false">SUM(N5:N32)</f>
        <v>54683.76</v>
      </c>
      <c r="O33" s="31"/>
      <c r="P33" s="43" t="n">
        <f aca="false">SUM(P5:P32)</f>
        <v>30874.23</v>
      </c>
      <c r="Q33" s="43" t="n">
        <f aca="false">SUM(Q5:Q32)</f>
        <v>23809.53</v>
      </c>
      <c r="R33" s="31"/>
    </row>
    <row r="34" customFormat="false" ht="15" hidden="false" customHeight="false" outlineLevel="0" collapsed="false">
      <c r="A34" s="31"/>
      <c r="B34" s="32" t="s">
        <v>547</v>
      </c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43" t="n">
        <f aca="false">SUMIFS(N5:N32,R5:R32,"P1")</f>
        <v>17540.91</v>
      </c>
      <c r="O34" s="31"/>
      <c r="P34" s="31"/>
      <c r="Q34" s="31"/>
      <c r="R34" s="31"/>
    </row>
    <row r="35" customFormat="false" ht="15" hidden="false" customHeight="false" outlineLevel="0" collapsed="false">
      <c r="A35" s="31"/>
      <c r="B35" s="32" t="s">
        <v>548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43" t="n">
        <f aca="false">SUMIFS(N5:N32,R5:R32,"P2")</f>
        <v>37142.85</v>
      </c>
      <c r="O35" s="31"/>
      <c r="P35" s="31"/>
      <c r="Q35" s="31"/>
      <c r="R35" s="31"/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</cols>
  <sheetData>
    <row r="1" customFormat="false" ht="25.5" hidden="false" customHeight="true" outlineLevel="0" collapsed="false">
      <c r="A1" s="25" t="s">
        <v>549</v>
      </c>
      <c r="B1" s="25"/>
      <c r="C1" s="25"/>
      <c r="D1" s="25"/>
      <c r="E1" s="25"/>
      <c r="F1" s="25"/>
      <c r="G1" s="25"/>
      <c r="H1" s="25"/>
      <c r="I1" s="25"/>
      <c r="J1" s="25"/>
    </row>
    <row r="2" customFormat="false" ht="15" hidden="false" customHeight="false" outlineLevel="0" collapsed="false">
      <c r="A2" s="2" t="s">
        <v>550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12" t="s">
        <v>551</v>
      </c>
      <c r="B4" s="12" t="s">
        <v>48</v>
      </c>
      <c r="C4" s="12" t="s">
        <v>552</v>
      </c>
      <c r="D4" s="12" t="s">
        <v>553</v>
      </c>
      <c r="E4" s="12" t="s">
        <v>522</v>
      </c>
      <c r="F4" s="12" t="s">
        <v>554</v>
      </c>
      <c r="G4" s="12" t="s">
        <v>555</v>
      </c>
      <c r="H4" s="12" t="s">
        <v>543</v>
      </c>
      <c r="I4" s="12" t="s">
        <v>544</v>
      </c>
      <c r="J4" s="12" t="s">
        <v>326</v>
      </c>
    </row>
    <row r="5" customFormat="false" ht="15" hidden="false" customHeight="false" outlineLevel="0" collapsed="false">
      <c r="A5" s="26" t="s">
        <v>556</v>
      </c>
      <c r="B5" s="27" t="s">
        <v>557</v>
      </c>
      <c r="C5" s="28" t="n">
        <v>1</v>
      </c>
      <c r="D5" s="49" t="n">
        <v>1000</v>
      </c>
      <c r="E5" s="41" t="n">
        <f aca="false">C5*D5</f>
        <v>1000</v>
      </c>
      <c r="F5" s="50" t="n">
        <f aca="false">tope_ent</f>
        <v>5000</v>
      </c>
      <c r="G5" s="37" t="n">
        <f aca="false">E5/F5</f>
        <v>0.2</v>
      </c>
      <c r="H5" s="48" t="n">
        <v>0.5</v>
      </c>
      <c r="I5" s="40" t="n">
        <f aca="false">E5*H5</f>
        <v>500</v>
      </c>
      <c r="J5" s="28" t="s">
        <v>331</v>
      </c>
    </row>
    <row r="6" customFormat="false" ht="15" hidden="false" customHeight="false" outlineLevel="0" collapsed="false">
      <c r="A6" s="26" t="s">
        <v>558</v>
      </c>
      <c r="B6" s="27" t="s">
        <v>559</v>
      </c>
      <c r="C6" s="28" t="n">
        <v>24</v>
      </c>
      <c r="D6" s="49" t="n">
        <v>35</v>
      </c>
      <c r="E6" s="41" t="n">
        <f aca="false">C6*D6</f>
        <v>840</v>
      </c>
      <c r="F6" s="30" t="s">
        <v>138</v>
      </c>
      <c r="G6" s="30" t="s">
        <v>138</v>
      </c>
      <c r="H6" s="48" t="n">
        <v>0.4</v>
      </c>
      <c r="I6" s="40" t="n">
        <f aca="false">E6*H6</f>
        <v>336</v>
      </c>
      <c r="J6" s="28" t="s">
        <v>331</v>
      </c>
    </row>
    <row r="7" customFormat="false" ht="15" hidden="false" customHeight="false" outlineLevel="0" collapsed="false">
      <c r="A7" s="26" t="s">
        <v>558</v>
      </c>
      <c r="B7" s="27" t="s">
        <v>560</v>
      </c>
      <c r="C7" s="28" t="n">
        <v>36</v>
      </c>
      <c r="D7" s="49" t="n">
        <v>35</v>
      </c>
      <c r="E7" s="41" t="n">
        <f aca="false">C7*D7</f>
        <v>1260</v>
      </c>
      <c r="F7" s="30" t="s">
        <v>138</v>
      </c>
      <c r="G7" s="30" t="s">
        <v>138</v>
      </c>
      <c r="H7" s="48" t="n">
        <v>0.4</v>
      </c>
      <c r="I7" s="40" t="n">
        <f aca="false">E7*H7</f>
        <v>504</v>
      </c>
      <c r="J7" s="28" t="s">
        <v>347</v>
      </c>
    </row>
    <row r="8" customFormat="false" ht="15" hidden="false" customHeight="false" outlineLevel="0" collapsed="false">
      <c r="A8" s="26" t="s">
        <v>561</v>
      </c>
      <c r="B8" s="27" t="s">
        <v>562</v>
      </c>
      <c r="C8" s="28" t="n">
        <v>1</v>
      </c>
      <c r="D8" s="49" t="n">
        <v>400</v>
      </c>
      <c r="E8" s="41" t="n">
        <f aca="false">C8*D8</f>
        <v>400</v>
      </c>
      <c r="F8" s="30" t="s">
        <v>138</v>
      </c>
      <c r="G8" s="30" t="s">
        <v>138</v>
      </c>
      <c r="H8" s="48" t="n">
        <v>0.5</v>
      </c>
      <c r="I8" s="40" t="n">
        <f aca="false">E8*H8</f>
        <v>200</v>
      </c>
      <c r="J8" s="28" t="s">
        <v>331</v>
      </c>
    </row>
    <row r="9" customFormat="false" ht="15" hidden="false" customHeight="false" outlineLevel="0" collapsed="false">
      <c r="A9" s="26" t="s">
        <v>561</v>
      </c>
      <c r="B9" s="27" t="s">
        <v>563</v>
      </c>
      <c r="C9" s="28" t="n">
        <v>1</v>
      </c>
      <c r="D9" s="49" t="n">
        <v>600</v>
      </c>
      <c r="E9" s="41" t="n">
        <f aca="false">C9*D9</f>
        <v>600</v>
      </c>
      <c r="F9" s="30" t="s">
        <v>138</v>
      </c>
      <c r="G9" s="30" t="s">
        <v>138</v>
      </c>
      <c r="H9" s="48" t="n">
        <v>0.5</v>
      </c>
      <c r="I9" s="40" t="n">
        <f aca="false">E9*H9</f>
        <v>300</v>
      </c>
      <c r="J9" s="28" t="s">
        <v>347</v>
      </c>
    </row>
    <row r="10" customFormat="false" ht="15" hidden="false" customHeight="false" outlineLevel="0" collapsed="false">
      <c r="A10" s="26" t="s">
        <v>564</v>
      </c>
      <c r="B10" s="27" t="s">
        <v>565</v>
      </c>
      <c r="C10" s="28" t="n">
        <v>1</v>
      </c>
      <c r="D10" s="49" t="n">
        <v>2800</v>
      </c>
      <c r="E10" s="41" t="n">
        <f aca="false">C10*D10</f>
        <v>2800</v>
      </c>
      <c r="F10" s="50" t="n">
        <f aca="false">tope_aud</f>
        <v>5000</v>
      </c>
      <c r="G10" s="37" t="n">
        <f aca="false">E10/F10</f>
        <v>0.56</v>
      </c>
      <c r="H10" s="48" t="n">
        <v>0.5</v>
      </c>
      <c r="I10" s="40" t="n">
        <f aca="false">E10*H10</f>
        <v>1400</v>
      </c>
      <c r="J10" s="28" t="s">
        <v>347</v>
      </c>
    </row>
    <row r="11" customFormat="false" ht="15" hidden="false" customHeight="false" outlineLevel="0" collapsed="false">
      <c r="A11" s="26" t="s">
        <v>566</v>
      </c>
      <c r="B11" s="27" t="s">
        <v>567</v>
      </c>
      <c r="C11" s="28" t="n">
        <v>1</v>
      </c>
      <c r="D11" s="49" t="n">
        <v>1500</v>
      </c>
      <c r="E11" s="41" t="n">
        <f aca="false">C11*D11</f>
        <v>1500</v>
      </c>
      <c r="F11" s="30" t="s">
        <v>138</v>
      </c>
      <c r="G11" s="30" t="s">
        <v>138</v>
      </c>
      <c r="H11" s="48" t="n">
        <v>0.5</v>
      </c>
      <c r="I11" s="40" t="n">
        <f aca="false">E11*H11</f>
        <v>750</v>
      </c>
      <c r="J11" s="28" t="s">
        <v>331</v>
      </c>
    </row>
    <row r="12" customFormat="false" ht="15" hidden="false" customHeight="false" outlineLevel="0" collapsed="false">
      <c r="A12" s="26" t="s">
        <v>566</v>
      </c>
      <c r="B12" s="27" t="s">
        <v>568</v>
      </c>
      <c r="C12" s="28" t="n">
        <v>1</v>
      </c>
      <c r="D12" s="49" t="n">
        <v>3500</v>
      </c>
      <c r="E12" s="41" t="n">
        <f aca="false">C12*D12</f>
        <v>3500</v>
      </c>
      <c r="F12" s="30" t="s">
        <v>138</v>
      </c>
      <c r="G12" s="30" t="s">
        <v>138</v>
      </c>
      <c r="H12" s="48" t="n">
        <v>0.5</v>
      </c>
      <c r="I12" s="40" t="n">
        <f aca="false">E12*H12</f>
        <v>1750</v>
      </c>
      <c r="J12" s="28" t="s">
        <v>347</v>
      </c>
    </row>
    <row r="13" customFormat="false" ht="15" hidden="false" customHeight="false" outlineLevel="0" collapsed="false">
      <c r="A13" s="26" t="s">
        <v>569</v>
      </c>
      <c r="B13" s="27" t="s">
        <v>570</v>
      </c>
      <c r="C13" s="28" t="n">
        <v>1</v>
      </c>
      <c r="D13" s="49" t="n">
        <v>500</v>
      </c>
      <c r="E13" s="41" t="n">
        <f aca="false">C13*D13</f>
        <v>500</v>
      </c>
      <c r="F13" s="30" t="s">
        <v>138</v>
      </c>
      <c r="G13" s="30" t="s">
        <v>138</v>
      </c>
      <c r="H13" s="48" t="n">
        <v>0.5</v>
      </c>
      <c r="I13" s="40" t="n">
        <f aca="false">E13*H13</f>
        <v>250</v>
      </c>
      <c r="J13" s="28" t="s">
        <v>331</v>
      </c>
    </row>
    <row r="14" customFormat="false" ht="15" hidden="false" customHeight="false" outlineLevel="0" collapsed="false">
      <c r="A14" s="26" t="s">
        <v>569</v>
      </c>
      <c r="B14" s="27" t="s">
        <v>571</v>
      </c>
      <c r="C14" s="28" t="n">
        <v>1</v>
      </c>
      <c r="D14" s="49" t="n">
        <v>1000</v>
      </c>
      <c r="E14" s="41" t="n">
        <f aca="false">C14*D14</f>
        <v>1000</v>
      </c>
      <c r="F14" s="30" t="s">
        <v>138</v>
      </c>
      <c r="G14" s="30" t="s">
        <v>138</v>
      </c>
      <c r="H14" s="48" t="n">
        <v>0.5</v>
      </c>
      <c r="I14" s="40" t="n">
        <f aca="false">E14*H14</f>
        <v>500</v>
      </c>
      <c r="J14" s="28" t="s">
        <v>347</v>
      </c>
    </row>
    <row r="15" customFormat="false" ht="15" hidden="false" customHeight="false" outlineLevel="0" collapsed="false">
      <c r="A15" s="31"/>
      <c r="B15" s="32" t="s">
        <v>572</v>
      </c>
      <c r="C15" s="31"/>
      <c r="D15" s="31"/>
      <c r="E15" s="43" t="n">
        <f aca="false">SUM(E5:E14)</f>
        <v>13400</v>
      </c>
      <c r="F15" s="31"/>
      <c r="G15" s="31"/>
      <c r="H15" s="31"/>
      <c r="I15" s="43" t="n">
        <f aca="false">SUM(I5:I14)</f>
        <v>6490</v>
      </c>
      <c r="J15" s="31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7" min="3" style="0" width="12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1" min="11" style="0" width="28"/>
  </cols>
  <sheetData>
    <row r="1" customFormat="false" ht="25.5" hidden="false" customHeight="true" outlineLevel="0" collapsed="false">
      <c r="A1" s="25" t="s">
        <v>573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3" customFormat="false" ht="15" hidden="false" customHeight="true" outlineLevel="0" collapsed="false">
      <c r="A3" s="4" t="s">
        <v>574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customFormat="false" ht="23.85" hidden="false" customHeight="false" outlineLevel="0" collapsed="false">
      <c r="A4" s="12" t="s">
        <v>48</v>
      </c>
      <c r="B4" s="12" t="s">
        <v>575</v>
      </c>
      <c r="C4" s="12" t="s">
        <v>576</v>
      </c>
      <c r="D4" s="12" t="s">
        <v>577</v>
      </c>
      <c r="E4" s="12" t="s">
        <v>578</v>
      </c>
      <c r="F4" s="12" t="s">
        <v>579</v>
      </c>
      <c r="G4" s="12" t="s">
        <v>580</v>
      </c>
      <c r="H4" s="12" t="s">
        <v>543</v>
      </c>
      <c r="I4" s="12" t="s">
        <v>544</v>
      </c>
      <c r="J4" s="12" t="s">
        <v>545</v>
      </c>
      <c r="K4" s="12" t="s">
        <v>52</v>
      </c>
    </row>
    <row r="5" customFormat="false" ht="15" hidden="false" customHeight="false" outlineLevel="0" collapsed="false">
      <c r="A5" s="26" t="s">
        <v>581</v>
      </c>
      <c r="B5" s="27" t="s">
        <v>582</v>
      </c>
      <c r="C5" s="49" t="n">
        <v>8000</v>
      </c>
      <c r="D5" s="28" t="n">
        <v>60</v>
      </c>
      <c r="E5" s="40" t="n">
        <f aca="false">C5/D5*meses_p1</f>
        <v>933.333333333333</v>
      </c>
      <c r="F5" s="40" t="n">
        <f aca="false">C5/D5*meses_p2</f>
        <v>1333.33333333333</v>
      </c>
      <c r="G5" s="41" t="n">
        <f aca="false">E5+F5</f>
        <v>2266.66666666667</v>
      </c>
      <c r="H5" s="48" t="n">
        <v>1</v>
      </c>
      <c r="I5" s="40" t="n">
        <f aca="false">G5*H5</f>
        <v>2266.66666666667</v>
      </c>
      <c r="J5" s="40" t="n">
        <f aca="false">G5*(1-H5)</f>
        <v>0</v>
      </c>
      <c r="K5" s="51" t="s">
        <v>583</v>
      </c>
    </row>
    <row r="6" customFormat="false" ht="15" hidden="false" customHeight="false" outlineLevel="0" collapsed="false">
      <c r="A6" s="26" t="s">
        <v>584</v>
      </c>
      <c r="B6" s="27" t="s">
        <v>585</v>
      </c>
      <c r="C6" s="49" t="n">
        <v>5000</v>
      </c>
      <c r="D6" s="28" t="n">
        <v>60</v>
      </c>
      <c r="E6" s="40" t="n">
        <f aca="false">C6/D6*meses_p1</f>
        <v>583.333333333333</v>
      </c>
      <c r="F6" s="40" t="n">
        <f aca="false">C6/D6*meses_p2</f>
        <v>833.333333333333</v>
      </c>
      <c r="G6" s="41" t="n">
        <f aca="false">E6+F6</f>
        <v>1416.66666666667</v>
      </c>
      <c r="H6" s="48" t="n">
        <v>1</v>
      </c>
      <c r="I6" s="40" t="n">
        <f aca="false">G6*H6</f>
        <v>1416.66666666667</v>
      </c>
      <c r="J6" s="40" t="n">
        <f aca="false">G6*(1-H6)</f>
        <v>0</v>
      </c>
      <c r="K6" s="51" t="s">
        <v>586</v>
      </c>
    </row>
    <row r="7" customFormat="false" ht="15" hidden="false" customHeight="false" outlineLevel="0" collapsed="false">
      <c r="A7" s="26" t="s">
        <v>587</v>
      </c>
      <c r="B7" s="27" t="s">
        <v>588</v>
      </c>
      <c r="C7" s="49" t="n">
        <v>3000</v>
      </c>
      <c r="D7" s="28" t="n">
        <v>17</v>
      </c>
      <c r="E7" s="40" t="n">
        <f aca="false">C7/D7*meses_p1</f>
        <v>1235.29411764706</v>
      </c>
      <c r="F7" s="40" t="n">
        <f aca="false">C7/D7*meses_p2</f>
        <v>1764.70588235294</v>
      </c>
      <c r="G7" s="41" t="n">
        <f aca="false">E7+F7</f>
        <v>3000</v>
      </c>
      <c r="H7" s="48" t="n">
        <v>1</v>
      </c>
      <c r="I7" s="40" t="n">
        <f aca="false">G7*H7</f>
        <v>3000</v>
      </c>
      <c r="J7" s="40" t="n">
        <f aca="false">G7*(1-H7)</f>
        <v>0</v>
      </c>
      <c r="K7" s="51" t="s">
        <v>589</v>
      </c>
    </row>
    <row r="8" customFormat="false" ht="15" hidden="false" customHeight="false" outlineLevel="0" collapsed="false">
      <c r="A8" s="26" t="s">
        <v>590</v>
      </c>
      <c r="B8" s="27" t="s">
        <v>591</v>
      </c>
      <c r="C8" s="49" t="n">
        <v>2000</v>
      </c>
      <c r="D8" s="28" t="n">
        <v>60</v>
      </c>
      <c r="E8" s="40" t="n">
        <f aca="false">C8/D8*meses_p1</f>
        <v>233.333333333333</v>
      </c>
      <c r="F8" s="40" t="n">
        <f aca="false">C8/D8*meses_p2</f>
        <v>333.333333333333</v>
      </c>
      <c r="G8" s="41" t="n">
        <f aca="false">E8+F8</f>
        <v>566.666666666667</v>
      </c>
      <c r="H8" s="48" t="n">
        <v>1</v>
      </c>
      <c r="I8" s="40" t="n">
        <f aca="false">G8*H8</f>
        <v>566.666666666667</v>
      </c>
      <c r="J8" s="40" t="n">
        <f aca="false">G8*(1-H8)</f>
        <v>0</v>
      </c>
      <c r="K8" s="51" t="s">
        <v>592</v>
      </c>
    </row>
    <row r="9" customFormat="false" ht="15" hidden="false" customHeight="false" outlineLevel="0" collapsed="false">
      <c r="A9" s="31"/>
      <c r="B9" s="32" t="s">
        <v>593</v>
      </c>
      <c r="C9" s="31"/>
      <c r="D9" s="31"/>
      <c r="E9" s="43" t="n">
        <f aca="false">SUM(E5:E8)</f>
        <v>2985.29411764706</v>
      </c>
      <c r="F9" s="43" t="n">
        <f aca="false">SUM(F5:F8)</f>
        <v>4264.70588235294</v>
      </c>
      <c r="G9" s="43" t="n">
        <f aca="false">SUM(G5:G8)</f>
        <v>7250</v>
      </c>
      <c r="H9" s="31"/>
      <c r="I9" s="43" t="n">
        <f aca="false">SUM(I5:I8)</f>
        <v>7250</v>
      </c>
      <c r="J9" s="43" t="n">
        <f aca="false">SUM(J5:J8)</f>
        <v>0</v>
      </c>
      <c r="K9" s="31"/>
    </row>
    <row r="12" customFormat="false" ht="15" hidden="false" customHeight="true" outlineLevel="0" collapsed="false">
      <c r="A12" s="4" t="s">
        <v>594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customFormat="false" ht="23.85" hidden="false" customHeight="false" outlineLevel="0" collapsed="false">
      <c r="A13" s="12" t="s">
        <v>48</v>
      </c>
      <c r="B13" s="12" t="s">
        <v>575</v>
      </c>
      <c r="C13" s="12" t="s">
        <v>552</v>
      </c>
      <c r="D13" s="12" t="s">
        <v>553</v>
      </c>
      <c r="E13" s="12" t="s">
        <v>494</v>
      </c>
      <c r="F13" s="12" t="s">
        <v>326</v>
      </c>
      <c r="G13" s="12" t="s">
        <v>543</v>
      </c>
      <c r="H13" s="12" t="s">
        <v>544</v>
      </c>
      <c r="I13" s="12" t="s">
        <v>545</v>
      </c>
      <c r="J13" s="12" t="s">
        <v>595</v>
      </c>
      <c r="K13" s="12"/>
    </row>
    <row r="14" customFormat="false" ht="15" hidden="false" customHeight="false" outlineLevel="0" collapsed="false">
      <c r="A14" s="26" t="s">
        <v>596</v>
      </c>
      <c r="B14" s="27" t="s">
        <v>597</v>
      </c>
      <c r="C14" s="28" t="n">
        <v>1</v>
      </c>
      <c r="D14" s="49" t="n">
        <v>2500</v>
      </c>
      <c r="E14" s="41" t="n">
        <f aca="false">C14*D14</f>
        <v>2500</v>
      </c>
      <c r="F14" s="28" t="s">
        <v>347</v>
      </c>
      <c r="G14" s="48" t="n">
        <v>0.3</v>
      </c>
      <c r="H14" s="40" t="n">
        <f aca="false">E14*G14</f>
        <v>750</v>
      </c>
      <c r="I14" s="40" t="n">
        <f aca="false">E14*(1-G14)</f>
        <v>1750</v>
      </c>
      <c r="J14" s="30" t="s">
        <v>598</v>
      </c>
      <c r="K14" s="27"/>
    </row>
    <row r="15" customFormat="false" ht="15" hidden="false" customHeight="false" outlineLevel="0" collapsed="false">
      <c r="A15" s="26" t="s">
        <v>599</v>
      </c>
      <c r="B15" s="27" t="s">
        <v>600</v>
      </c>
      <c r="C15" s="28" t="n">
        <v>1</v>
      </c>
      <c r="D15" s="49" t="n">
        <v>13500</v>
      </c>
      <c r="E15" s="41" t="n">
        <f aca="false">C15*D15</f>
        <v>13500</v>
      </c>
      <c r="F15" s="28" t="s">
        <v>347</v>
      </c>
      <c r="G15" s="48" t="n">
        <v>0.3</v>
      </c>
      <c r="H15" s="40" t="n">
        <f aca="false">E15*G15</f>
        <v>4050</v>
      </c>
      <c r="I15" s="40" t="n">
        <f aca="false">E15*(1-G15)</f>
        <v>9450</v>
      </c>
      <c r="J15" s="30" t="s">
        <v>598</v>
      </c>
      <c r="K15" s="27"/>
    </row>
    <row r="16" customFormat="false" ht="15" hidden="false" customHeight="false" outlineLevel="0" collapsed="false">
      <c r="A16" s="26" t="s">
        <v>601</v>
      </c>
      <c r="B16" s="27" t="s">
        <v>602</v>
      </c>
      <c r="C16" s="28" t="n">
        <v>1</v>
      </c>
      <c r="D16" s="49" t="n">
        <v>4000</v>
      </c>
      <c r="E16" s="41" t="n">
        <f aca="false">C16*D16</f>
        <v>4000</v>
      </c>
      <c r="F16" s="28" t="s">
        <v>347</v>
      </c>
      <c r="G16" s="48" t="n">
        <v>0.3</v>
      </c>
      <c r="H16" s="40" t="n">
        <f aca="false">E16*G16</f>
        <v>1200</v>
      </c>
      <c r="I16" s="40" t="n">
        <f aca="false">E16*(1-G16)</f>
        <v>2800</v>
      </c>
      <c r="J16" s="30" t="s">
        <v>367</v>
      </c>
      <c r="K16" s="27"/>
    </row>
    <row r="17" customFormat="false" ht="15" hidden="false" customHeight="false" outlineLevel="0" collapsed="false">
      <c r="A17" s="26" t="s">
        <v>603</v>
      </c>
      <c r="B17" s="27" t="s">
        <v>604</v>
      </c>
      <c r="C17" s="28" t="n">
        <v>1</v>
      </c>
      <c r="D17" s="49" t="n">
        <v>3500</v>
      </c>
      <c r="E17" s="41" t="n">
        <f aca="false">C17*D17</f>
        <v>3500</v>
      </c>
      <c r="F17" s="28" t="s">
        <v>347</v>
      </c>
      <c r="G17" s="48" t="n">
        <v>0.3</v>
      </c>
      <c r="H17" s="40" t="n">
        <f aca="false">E17*G17</f>
        <v>1050</v>
      </c>
      <c r="I17" s="40" t="n">
        <f aca="false">E17*(1-G17)</f>
        <v>2450</v>
      </c>
      <c r="J17" s="30" t="s">
        <v>370</v>
      </c>
      <c r="K17" s="27"/>
    </row>
    <row r="18" customFormat="false" ht="15" hidden="false" customHeight="false" outlineLevel="0" collapsed="false">
      <c r="A18" s="26" t="s">
        <v>605</v>
      </c>
      <c r="B18" s="27" t="s">
        <v>606</v>
      </c>
      <c r="C18" s="28" t="n">
        <v>1</v>
      </c>
      <c r="D18" s="49" t="n">
        <v>2500</v>
      </c>
      <c r="E18" s="41" t="n">
        <f aca="false">C18*D18</f>
        <v>2500</v>
      </c>
      <c r="F18" s="28" t="s">
        <v>347</v>
      </c>
      <c r="G18" s="48" t="n">
        <v>0.3</v>
      </c>
      <c r="H18" s="40" t="n">
        <f aca="false">E18*G18</f>
        <v>750</v>
      </c>
      <c r="I18" s="40" t="n">
        <f aca="false">E18*(1-G18)</f>
        <v>1750</v>
      </c>
      <c r="J18" s="30" t="s">
        <v>607</v>
      </c>
      <c r="K18" s="27"/>
    </row>
    <row r="19" customFormat="false" ht="15" hidden="false" customHeight="false" outlineLevel="0" collapsed="false">
      <c r="A19" s="26" t="s">
        <v>608</v>
      </c>
      <c r="B19" s="27" t="s">
        <v>609</v>
      </c>
      <c r="C19" s="28" t="n">
        <v>1</v>
      </c>
      <c r="D19" s="49" t="n">
        <v>8000</v>
      </c>
      <c r="E19" s="41" t="n">
        <f aca="false">C19*D19</f>
        <v>8000</v>
      </c>
      <c r="F19" s="28" t="s">
        <v>347</v>
      </c>
      <c r="G19" s="48" t="n">
        <v>0.6</v>
      </c>
      <c r="H19" s="40" t="n">
        <f aca="false">E19*G19</f>
        <v>4800</v>
      </c>
      <c r="I19" s="40" t="n">
        <f aca="false">E19*(1-G19)</f>
        <v>3200</v>
      </c>
      <c r="J19" s="30" t="s">
        <v>373</v>
      </c>
      <c r="K19" s="27"/>
    </row>
    <row r="20" customFormat="false" ht="15" hidden="false" customHeight="false" outlineLevel="0" collapsed="false">
      <c r="A20" s="26" t="s">
        <v>610</v>
      </c>
      <c r="B20" s="27" t="s">
        <v>611</v>
      </c>
      <c r="C20" s="28" t="n">
        <v>1</v>
      </c>
      <c r="D20" s="49" t="n">
        <v>2500</v>
      </c>
      <c r="E20" s="41" t="n">
        <f aca="false">C20*D20</f>
        <v>2500</v>
      </c>
      <c r="F20" s="28" t="s">
        <v>347</v>
      </c>
      <c r="G20" s="48" t="n">
        <v>0.5</v>
      </c>
      <c r="H20" s="40" t="n">
        <f aca="false">E20*G20</f>
        <v>1250</v>
      </c>
      <c r="I20" s="40" t="n">
        <f aca="false">E20*(1-G20)</f>
        <v>1250</v>
      </c>
      <c r="J20" s="30" t="s">
        <v>376</v>
      </c>
      <c r="K20" s="27"/>
    </row>
    <row r="21" customFormat="false" ht="15" hidden="false" customHeight="false" outlineLevel="0" collapsed="false">
      <c r="A21" s="26" t="s">
        <v>612</v>
      </c>
      <c r="B21" s="27" t="s">
        <v>613</v>
      </c>
      <c r="C21" s="28" t="n">
        <v>1</v>
      </c>
      <c r="D21" s="49" t="n">
        <v>2000</v>
      </c>
      <c r="E21" s="41" t="n">
        <f aca="false">C21*D21</f>
        <v>2000</v>
      </c>
      <c r="F21" s="28" t="s">
        <v>347</v>
      </c>
      <c r="G21" s="48" t="n">
        <v>0.2</v>
      </c>
      <c r="H21" s="40" t="n">
        <f aca="false">E21*G21</f>
        <v>400</v>
      </c>
      <c r="I21" s="40" t="n">
        <f aca="false">E21*(1-G21)</f>
        <v>1600</v>
      </c>
      <c r="J21" s="30" t="s">
        <v>614</v>
      </c>
      <c r="K21" s="27"/>
    </row>
    <row r="22" customFormat="false" ht="15" hidden="false" customHeight="false" outlineLevel="0" collapsed="false">
      <c r="A22" s="26" t="s">
        <v>615</v>
      </c>
      <c r="B22" s="27" t="s">
        <v>616</v>
      </c>
      <c r="C22" s="28" t="n">
        <v>1</v>
      </c>
      <c r="D22" s="49" t="n">
        <v>1500</v>
      </c>
      <c r="E22" s="41" t="n">
        <f aca="false">C22*D22</f>
        <v>1500</v>
      </c>
      <c r="F22" s="28" t="s">
        <v>347</v>
      </c>
      <c r="G22" s="48" t="n">
        <v>0.7</v>
      </c>
      <c r="H22" s="40" t="n">
        <f aca="false">E22*G22</f>
        <v>1050</v>
      </c>
      <c r="I22" s="40" t="n">
        <f aca="false">E22*(1-G22)</f>
        <v>450</v>
      </c>
      <c r="J22" s="30" t="s">
        <v>617</v>
      </c>
      <c r="K22" s="27"/>
    </row>
    <row r="23" customFormat="false" ht="15" hidden="false" customHeight="false" outlineLevel="0" collapsed="false">
      <c r="A23" s="26" t="s">
        <v>618</v>
      </c>
      <c r="B23" s="27" t="s">
        <v>619</v>
      </c>
      <c r="C23" s="28" t="n">
        <v>1</v>
      </c>
      <c r="D23" s="49" t="n">
        <v>2000</v>
      </c>
      <c r="E23" s="41" t="n">
        <f aca="false">C23*D23</f>
        <v>2000</v>
      </c>
      <c r="F23" s="28" t="s">
        <v>347</v>
      </c>
      <c r="G23" s="48" t="n">
        <v>0.4</v>
      </c>
      <c r="H23" s="40" t="n">
        <f aca="false">E23*G23</f>
        <v>800</v>
      </c>
      <c r="I23" s="40" t="n">
        <f aca="false">E23*(1-G23)</f>
        <v>1200</v>
      </c>
      <c r="J23" s="30" t="s">
        <v>617</v>
      </c>
      <c r="K23" s="27"/>
    </row>
    <row r="24" customFormat="false" ht="15" hidden="false" customHeight="false" outlineLevel="0" collapsed="false">
      <c r="A24" s="31"/>
      <c r="B24" s="32" t="s">
        <v>620</v>
      </c>
      <c r="C24" s="31"/>
      <c r="D24" s="31"/>
      <c r="E24" s="43" t="n">
        <f aca="false">SUM(E14:E23)</f>
        <v>42000</v>
      </c>
      <c r="F24" s="31"/>
      <c r="G24" s="31"/>
      <c r="H24" s="43" t="n">
        <f aca="false">SUM(H14:H23)</f>
        <v>16100</v>
      </c>
      <c r="I24" s="43" t="n">
        <f aca="false">SUM(I14:I23)</f>
        <v>25900</v>
      </c>
      <c r="J24" s="31"/>
      <c r="K24" s="31"/>
    </row>
  </sheetData>
  <mergeCells count="3">
    <mergeCell ref="A1:K1"/>
    <mergeCell ref="A3:K3"/>
    <mergeCell ref="A12:K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10" min="3" style="0" width="14"/>
  </cols>
  <sheetData>
    <row r="1" customFormat="false" ht="25.5" hidden="false" customHeight="true" outlineLevel="0" collapsed="false">
      <c r="A1" s="25" t="s">
        <v>621</v>
      </c>
      <c r="B1" s="25"/>
      <c r="C1" s="25"/>
      <c r="D1" s="25"/>
      <c r="E1" s="25"/>
      <c r="F1" s="25"/>
      <c r="G1" s="25"/>
      <c r="H1" s="25"/>
      <c r="I1" s="25"/>
      <c r="J1" s="25"/>
    </row>
    <row r="2" customFormat="false" ht="15" hidden="false" customHeight="false" outlineLevel="0" collapsed="false">
      <c r="A2" s="2" t="s">
        <v>622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true" outlineLevel="0" collapsed="false">
      <c r="A4" s="4" t="s">
        <v>623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23.85" hidden="false" customHeight="false" outlineLevel="0" collapsed="false">
      <c r="A5" s="12" t="s">
        <v>318</v>
      </c>
      <c r="B5" s="12" t="s">
        <v>320</v>
      </c>
      <c r="C5" s="12" t="s">
        <v>624</v>
      </c>
      <c r="D5" s="12" t="s">
        <v>625</v>
      </c>
      <c r="E5" s="12" t="s">
        <v>626</v>
      </c>
      <c r="F5" s="12" t="s">
        <v>627</v>
      </c>
      <c r="G5" s="12" t="s">
        <v>628</v>
      </c>
    </row>
    <row r="6" customFormat="false" ht="15" hidden="false" customHeight="false" outlineLevel="0" collapsed="false">
      <c r="A6" s="26" t="s">
        <v>328</v>
      </c>
      <c r="B6" s="39" t="str">
        <f aca="false">VLOOKUP(A6,ACTIVIDADES!$A$5:$C$50,3,FALSE())</f>
        <v>Concepto NEB aplicado a la microexplotación alcarreña</v>
      </c>
      <c r="C6" s="40" t="n">
        <f aca="false">SUMIF(PERSONAL!$A$66:$A$67,A6,PERSONAL!$H$66:$H$67)</f>
        <v>720</v>
      </c>
      <c r="D6" s="40" t="n">
        <f aca="false">SUMIF(PERSONAL!$A$73:$A$76,A6,PERSONAL!$H$73:$H$76)</f>
        <v>0</v>
      </c>
      <c r="E6" s="40" t="n">
        <f aca="false">SUMIF(PERSONAL!$A$36:$A$60,A6,PERSONAL!$K$36:$K$60)</f>
        <v>419.7</v>
      </c>
      <c r="F6" s="40" t="n">
        <f aca="false">SUMIF(PERSONAL!$A$6:$A$30,A6,PERSONAL!$K$6:$K$30)</f>
        <v>136.86</v>
      </c>
      <c r="G6" s="41" t="n">
        <f aca="false">C6+D6+E6+F6</f>
        <v>1276.56</v>
      </c>
    </row>
    <row r="7" customFormat="false" ht="15" hidden="false" customHeight="false" outlineLevel="0" collapsed="false">
      <c r="A7" s="26" t="s">
        <v>333</v>
      </c>
      <c r="B7" s="39" t="str">
        <f aca="false">VLOOKUP(A7,ACTIVIDADES!$A$5:$C$50,3,FALSE())</f>
        <v>Cumplimentación CUE/SIEX</v>
      </c>
      <c r="C7" s="40" t="n">
        <f aca="false">SUMIF(PERSONAL!$A$66:$A$67,A7,PERSONAL!$H$66:$H$67)</f>
        <v>0</v>
      </c>
      <c r="D7" s="40" t="n">
        <f aca="false">SUMIF(PERSONAL!$A$73:$A$76,A7,PERSONAL!$H$73:$H$76)</f>
        <v>0</v>
      </c>
      <c r="E7" s="40" t="n">
        <f aca="false">SUMIF(PERSONAL!$A$36:$A$60,A7,PERSONAL!$K$36:$K$60)</f>
        <v>1175.16</v>
      </c>
      <c r="F7" s="40" t="n">
        <f aca="false">SUMIF(PERSONAL!$A$6:$A$30,A7,PERSONAL!$K$6:$K$30)</f>
        <v>1218.96</v>
      </c>
      <c r="G7" s="41" t="n">
        <f aca="false">C7+D7+E7+F7</f>
        <v>2394.12</v>
      </c>
    </row>
    <row r="8" customFormat="false" ht="15" hidden="false" customHeight="false" outlineLevel="0" collapsed="false">
      <c r="A8" s="26" t="s">
        <v>338</v>
      </c>
      <c r="B8" s="39" t="str">
        <f aca="false">VLOOKUP(A8,ACTIVIDADES!$A$5:$C$50,3,FALSE())</f>
        <v>SIGPAC y declaración</v>
      </c>
      <c r="C8" s="40" t="n">
        <f aca="false">SUMIF(PERSONAL!$A$66:$A$67,A8,PERSONAL!$H$66:$H$67)</f>
        <v>0</v>
      </c>
      <c r="D8" s="40" t="n">
        <f aca="false">SUMIF(PERSONAL!$A$73:$A$76,A8,PERSONAL!$H$73:$H$76)</f>
        <v>0</v>
      </c>
      <c r="E8" s="40" t="n">
        <f aca="false">SUMIF(PERSONAL!$A$36:$A$60,A8,PERSONAL!$K$36:$K$60)</f>
        <v>419.7</v>
      </c>
      <c r="F8" s="40" t="n">
        <f aca="false">SUMIF(PERSONAL!$A$6:$A$30,A8,PERSONAL!$K$6:$K$30)</f>
        <v>497.56</v>
      </c>
      <c r="G8" s="41" t="n">
        <f aca="false">C8+D8+E8+F8</f>
        <v>917.26</v>
      </c>
    </row>
    <row r="9" customFormat="false" ht="15" hidden="false" customHeight="false" outlineLevel="0" collapsed="false">
      <c r="A9" s="26" t="s">
        <v>341</v>
      </c>
      <c r="B9" s="39" t="str">
        <f aca="false">VLOOKUP(A9,ACTIVIDADES!$A$5:$C$50,3,FALSE())</f>
        <v>SIG QGIS + NDVI en campo</v>
      </c>
      <c r="C9" s="40" t="n">
        <f aca="false">SUMIF(PERSONAL!$A$66:$A$67,A9,PERSONAL!$H$66:$H$67)</f>
        <v>0</v>
      </c>
      <c r="D9" s="40" t="n">
        <f aca="false">SUMIF(PERSONAL!$A$73:$A$76,A9,PERSONAL!$H$73:$H$76)</f>
        <v>0</v>
      </c>
      <c r="E9" s="40" t="n">
        <f aca="false">SUMIF(PERSONAL!$A$36:$A$60,A9,PERSONAL!$K$36:$K$60)</f>
        <v>839.4</v>
      </c>
      <c r="F9" s="40" t="n">
        <f aca="false">SUMIF(PERSONAL!$A$6:$A$30,A9,PERSONAL!$K$6:$K$30)</f>
        <v>665.44</v>
      </c>
      <c r="G9" s="41" t="n">
        <f aca="false">C9+D9+E9+F9</f>
        <v>1504.84</v>
      </c>
    </row>
    <row r="10" customFormat="false" ht="15" hidden="false" customHeight="false" outlineLevel="0" collapsed="false">
      <c r="A10" s="26" t="s">
        <v>355</v>
      </c>
      <c r="B10" s="39" t="str">
        <f aca="false">VLOOKUP(A10,ACTIVIDADES!$A$5:$C$50,3,FALSE())</f>
        <v>CAD instalaciones de madera</v>
      </c>
      <c r="C10" s="40" t="n">
        <f aca="false">SUMIF(PERSONAL!$A$66:$A$67,A10,PERSONAL!$H$66:$H$67)</f>
        <v>0</v>
      </c>
      <c r="D10" s="40" t="n">
        <f aca="false">SUMIF(PERSONAL!$A$73:$A$76,A10,PERSONAL!$H$73:$H$76)</f>
        <v>0</v>
      </c>
      <c r="E10" s="40" t="n">
        <f aca="false">SUMIF(PERSONAL!$A$36:$A$60,A10,PERSONAL!$K$36:$K$60)</f>
        <v>839.4</v>
      </c>
      <c r="F10" s="40" t="n">
        <f aca="false">SUMIF(PERSONAL!$A$6:$A$30,A10,PERSONAL!$K$6:$K$30)</f>
        <v>167.88</v>
      </c>
      <c r="G10" s="41" t="n">
        <f aca="false">C10+D10+E10+F10</f>
        <v>1007.28</v>
      </c>
    </row>
    <row r="11" customFormat="false" ht="15" hidden="false" customHeight="false" outlineLevel="0" collapsed="false">
      <c r="A11" s="26" t="s">
        <v>359</v>
      </c>
      <c r="B11" s="39" t="str">
        <f aca="false">VLOOKUP(A11,ACTIVIDADES!$A$5:$C$50,3,FALSE())</f>
        <v>Cálculo y planos del domo geodésico</v>
      </c>
      <c r="C11" s="40" t="n">
        <f aca="false">SUMIF(PERSONAL!$A$66:$A$67,A11,PERSONAL!$H$66:$H$67)</f>
        <v>0</v>
      </c>
      <c r="D11" s="40" t="n">
        <f aca="false">SUMIF(PERSONAL!$A$73:$A$76,A11,PERSONAL!$H$73:$H$76)</f>
        <v>0</v>
      </c>
      <c r="E11" s="40" t="n">
        <f aca="false">SUMIF(PERSONAL!$A$36:$A$60,A11,PERSONAL!$K$36:$K$60)</f>
        <v>419.7</v>
      </c>
      <c r="F11" s="40" t="n">
        <f aca="false">SUMIF(PERSONAL!$A$6:$A$30,A11,PERSONAL!$K$6:$K$30)</f>
        <v>167.88</v>
      </c>
      <c r="G11" s="41" t="n">
        <f aca="false">C11+D11+E11+F11</f>
        <v>587.58</v>
      </c>
    </row>
    <row r="12" customFormat="false" ht="15" hidden="false" customHeight="false" outlineLevel="0" collapsed="false">
      <c r="A12" s="26" t="s">
        <v>402</v>
      </c>
      <c r="B12" s="39" t="str">
        <f aca="false">VLOOKUP(A12,ACTIVIDADES!$A$5:$C$50,3,FALSE())</f>
        <v>Configuración del cuaderno digital open-source para microexplotación hortícola (FarmOS adaptado · TRL5 → TRL7)</v>
      </c>
      <c r="C12" s="40" t="n">
        <f aca="false">SUMIF(PERSONAL!$A$66:$A$67,A12,PERSONAL!$H$66:$H$67)</f>
        <v>0</v>
      </c>
      <c r="D12" s="40" t="n">
        <f aca="false">SUMIF(PERSONAL!$A$73:$A$76,A12,PERSONAL!$H$73:$H$76)</f>
        <v>0</v>
      </c>
      <c r="E12" s="40" t="n">
        <f aca="false">SUMIF(PERSONAL!$A$36:$A$60,A12,PERSONAL!$K$36:$K$60)</f>
        <v>419.7</v>
      </c>
      <c r="F12" s="40" t="n">
        <f aca="false">SUMIF(PERSONAL!$A$6:$A$30,A12,PERSONAL!$K$6:$K$30)</f>
        <v>10541.2</v>
      </c>
      <c r="G12" s="41" t="n">
        <f aca="false">C12+D12+E12+F12</f>
        <v>10960.9</v>
      </c>
    </row>
    <row r="13" customFormat="false" ht="15" hidden="false" customHeight="false" outlineLevel="0" collapsed="false">
      <c r="A13" s="26" t="s">
        <v>405</v>
      </c>
      <c r="B13" s="39" t="str">
        <f aca="false">VLOOKUP(A13,ACTIVIDADES!$A$5:$C$50,3,FALSE())</f>
        <v>Configuración del SIG open-source (QGIS + QField) para microexplotaciones (TRL5 → TRL7)</v>
      </c>
      <c r="C13" s="40" t="n">
        <f aca="false">SUMIF(PERSONAL!$A$66:$A$67,A13,PERSONAL!$H$66:$H$67)</f>
        <v>0</v>
      </c>
      <c r="D13" s="40" t="n">
        <f aca="false">SUMIF(PERSONAL!$A$73:$A$76,A13,PERSONAL!$H$73:$H$76)</f>
        <v>0</v>
      </c>
      <c r="E13" s="40" t="n">
        <f aca="false">SUMIF(PERSONAL!$A$36:$A$60,A13,PERSONAL!$K$36:$K$60)</f>
        <v>419.7</v>
      </c>
      <c r="F13" s="40" t="n">
        <f aca="false">SUMIF(PERSONAL!$A$6:$A$30,A13,PERSONAL!$K$6:$K$30)</f>
        <v>9717</v>
      </c>
      <c r="G13" s="41" t="n">
        <f aca="false">C13+D13+E13+F13</f>
        <v>10136.7</v>
      </c>
    </row>
    <row r="14" customFormat="false" ht="15" hidden="false" customHeight="false" outlineLevel="0" collapsed="false">
      <c r="A14" s="31"/>
      <c r="B14" s="32" t="s">
        <v>629</v>
      </c>
      <c r="C14" s="43" t="n">
        <f aca="false">SUM(C6:C13)</f>
        <v>720</v>
      </c>
      <c r="D14" s="43" t="n">
        <f aca="false">SUM(D6:D13)</f>
        <v>0</v>
      </c>
      <c r="E14" s="43" t="n">
        <f aca="false">SUM(E6:E13)</f>
        <v>4952.46</v>
      </c>
      <c r="F14" s="43" t="n">
        <f aca="false">SUM(F6:F13)</f>
        <v>23112.78</v>
      </c>
      <c r="G14" s="43" t="n">
        <f aca="false">SUM(G6:G13)</f>
        <v>28785.24</v>
      </c>
    </row>
    <row r="16" customFormat="false" ht="15" hidden="false" customHeight="false" outlineLevel="0" collapsed="false">
      <c r="B16" s="52" t="s">
        <v>630</v>
      </c>
    </row>
    <row r="17" customFormat="false" ht="15" hidden="false" customHeight="false" outlineLevel="0" collapsed="false">
      <c r="B17" s="12" t="s">
        <v>48</v>
      </c>
      <c r="C17" s="12" t="s">
        <v>631</v>
      </c>
      <c r="D17" s="12" t="s">
        <v>632</v>
      </c>
    </row>
    <row r="18" customFormat="false" ht="15" hidden="false" customHeight="false" outlineLevel="0" collapsed="false">
      <c r="B18" s="27" t="s">
        <v>633</v>
      </c>
      <c r="C18" s="50" t="n">
        <f aca="false">PERSONAL!$H$82+PERSONAL!$H$84</f>
        <v>12535.04</v>
      </c>
      <c r="D18" s="27"/>
    </row>
    <row r="19" customFormat="false" ht="15" hidden="false" customHeight="false" outlineLevel="0" collapsed="false">
      <c r="B19" s="27" t="s">
        <v>634</v>
      </c>
      <c r="C19" s="50" t="n">
        <f aca="false">VIAJES!$N$34</f>
        <v>17540.91</v>
      </c>
      <c r="D19" s="27"/>
    </row>
    <row r="20" customFormat="false" ht="15" hidden="false" customHeight="false" outlineLevel="0" collapsed="false">
      <c r="B20" s="27" t="s">
        <v>635</v>
      </c>
      <c r="C20" s="50" t="n">
        <f aca="false">SUMIFS(MATERIALES!$E$5:$E$14,MATERIALES!$A$5:$A$14,"B.2",MATERIALES!$J$5:$J$14,"P1")</f>
        <v>1000</v>
      </c>
      <c r="D20" s="27"/>
    </row>
    <row r="21" customFormat="false" ht="15" hidden="false" customHeight="false" outlineLevel="0" collapsed="false">
      <c r="B21" s="27" t="s">
        <v>636</v>
      </c>
      <c r="C21" s="50" t="n">
        <f aca="false">SUMIFS(MATERIALES!$E$5:$E$14,MATERIALES!$A$5:$A$14,"B.3",MATERIALES!$J$5:$J$14,"P1")</f>
        <v>840</v>
      </c>
      <c r="D21" s="27"/>
    </row>
    <row r="22" customFormat="false" ht="15" hidden="false" customHeight="false" outlineLevel="0" collapsed="false">
      <c r="B22" s="27" t="s">
        <v>637</v>
      </c>
      <c r="C22" s="50" t="n">
        <f aca="false">SUMIFS(MATERIALES!$E$5:$E$14,MATERIALES!$A$5:$A$14,"B.4",MATERIALES!$J$5:$J$14,"P1")</f>
        <v>400</v>
      </c>
      <c r="D22" s="27"/>
    </row>
    <row r="23" customFormat="false" ht="15" hidden="false" customHeight="false" outlineLevel="0" collapsed="false">
      <c r="B23" s="27" t="s">
        <v>638</v>
      </c>
      <c r="C23" s="50" t="n">
        <f aca="false">SUMIFS(MATERIALES!$E$5:$E$14,MATERIALES!$A$5:$A$14,"B.5",MATERIALES!$J$5:$J$14,"P1")</f>
        <v>0</v>
      </c>
      <c r="D23" s="27"/>
    </row>
    <row r="24" customFormat="false" ht="15" hidden="false" customHeight="false" outlineLevel="0" collapsed="false">
      <c r="B24" s="27" t="s">
        <v>639</v>
      </c>
      <c r="C24" s="50" t="n">
        <f aca="false">SUMIFS(MATERIALES!$E$5:$E$14,MATERIALES!$A$5:$A$14,"B.6",MATERIALES!$J$5:$J$14,"P1")</f>
        <v>1500</v>
      </c>
      <c r="D24" s="27"/>
    </row>
    <row r="25" customFormat="false" ht="15" hidden="false" customHeight="false" outlineLevel="0" collapsed="false">
      <c r="B25" s="27" t="s">
        <v>640</v>
      </c>
      <c r="C25" s="50" t="n">
        <f aca="false">SUMIFS(MATERIALES!$E$5:$E$14,MATERIALES!$A$5:$A$14,"B.7",MATERIALES!$J$5:$J$14,"P1")</f>
        <v>500</v>
      </c>
      <c r="D25" s="27"/>
    </row>
    <row r="26" customFormat="false" ht="15" hidden="false" customHeight="false" outlineLevel="0" collapsed="false">
      <c r="B26" s="27" t="s">
        <v>641</v>
      </c>
      <c r="C26" s="50" t="n">
        <f aca="false">INVERSIONES!$E$9</f>
        <v>2985.29411764706</v>
      </c>
      <c r="D26" s="27"/>
    </row>
    <row r="27" customFormat="false" ht="15" hidden="false" customHeight="false" outlineLevel="0" collapsed="false">
      <c r="B27" s="27" t="s">
        <v>642</v>
      </c>
      <c r="C27" s="50" t="n">
        <f aca="false">SUMIFS(INVERSIONES!$E$14:$E$23,INVERSIONES!$F$14:$F$23,"P1")</f>
        <v>0</v>
      </c>
      <c r="D27" s="27"/>
    </row>
    <row r="28" customFormat="false" ht="15" hidden="false" customHeight="false" outlineLevel="0" collapsed="false">
      <c r="B28" s="26" t="s">
        <v>643</v>
      </c>
      <c r="C28" s="41" t="n">
        <f aca="false">($G$14+C18)*tasa_ind</f>
        <v>6198.042</v>
      </c>
      <c r="D28" s="27"/>
    </row>
    <row r="29" customFormat="false" ht="15" hidden="false" customHeight="false" outlineLevel="0" collapsed="false">
      <c r="B29" s="32" t="s">
        <v>644</v>
      </c>
      <c r="C29" s="43" t="n">
        <f aca="false">SUM(C18:C28)</f>
        <v>43499.2861176471</v>
      </c>
      <c r="D29" s="31"/>
    </row>
    <row r="30" customFormat="false" ht="15" hidden="false" customHeight="false" outlineLevel="0" collapsed="false">
      <c r="B30" s="53" t="s">
        <v>645</v>
      </c>
      <c r="C30" s="54" t="n">
        <f aca="false">$G$14+$C$29</f>
        <v>72284.5261176471</v>
      </c>
      <c r="D30" s="55"/>
    </row>
    <row r="32" customFormat="false" ht="15" hidden="false" customHeight="true" outlineLevel="0" collapsed="false">
      <c r="A32" s="4" t="s">
        <v>646</v>
      </c>
      <c r="B32" s="4"/>
      <c r="C32" s="4"/>
      <c r="D32" s="4"/>
      <c r="E32" s="4"/>
      <c r="F32" s="4"/>
      <c r="G32" s="4"/>
      <c r="H32" s="4"/>
      <c r="I32" s="4"/>
      <c r="J32" s="4"/>
    </row>
    <row r="33" customFormat="false" ht="23.85" hidden="false" customHeight="false" outlineLevel="0" collapsed="false">
      <c r="A33" s="12" t="s">
        <v>318</v>
      </c>
      <c r="B33" s="12" t="s">
        <v>320</v>
      </c>
      <c r="C33" s="12" t="s">
        <v>624</v>
      </c>
      <c r="D33" s="12" t="s">
        <v>625</v>
      </c>
      <c r="E33" s="12" t="s">
        <v>626</v>
      </c>
      <c r="F33" s="12" t="s">
        <v>627</v>
      </c>
      <c r="G33" s="12" t="s">
        <v>628</v>
      </c>
    </row>
    <row r="34" customFormat="false" ht="15" hidden="false" customHeight="false" outlineLevel="0" collapsed="false">
      <c r="A34" s="26" t="s">
        <v>344</v>
      </c>
      <c r="B34" s="39" t="str">
        <f aca="false">VLOOKUP(A34,ACTIVIDADES!$A$5:$C$50,3,FALSE())</f>
        <v>Despliegue red IoT en huerta</v>
      </c>
      <c r="C34" s="40" t="n">
        <f aca="false">SUMIF(PERSONAL!$A$66:$A$67,A34,PERSONAL!$H$66:$H$67)</f>
        <v>0</v>
      </c>
      <c r="D34" s="40" t="n">
        <f aca="false">SUMIF(PERSONAL!$A$73:$A$76,A34,PERSONAL!$H$73:$H$76)</f>
        <v>0</v>
      </c>
      <c r="E34" s="40" t="n">
        <f aca="false">SUMIF(PERSONAL!$A$36:$A$60,A34,PERSONAL!$K$36:$K$60)</f>
        <v>839.4</v>
      </c>
      <c r="F34" s="40" t="n">
        <f aca="false">SUMIF(PERSONAL!$A$6:$A$30,A34,PERSONAL!$K$6:$K$30)</f>
        <v>1648.4</v>
      </c>
      <c r="G34" s="41" t="n">
        <f aca="false">C34+D34+E34+F34</f>
        <v>2487.8</v>
      </c>
    </row>
    <row r="35" customFormat="false" ht="15" hidden="false" customHeight="false" outlineLevel="0" collapsed="false">
      <c r="A35" s="26" t="s">
        <v>349</v>
      </c>
      <c r="B35" s="39" t="str">
        <f aca="false">VLOOKUP(A35,ACTIVIDADES!$A$5:$C$50,3,FALSE())</f>
        <v>Demostración riego automatizado</v>
      </c>
      <c r="C35" s="40" t="n">
        <f aca="false">SUMIF(PERSONAL!$A$66:$A$67,A35,PERSONAL!$H$66:$H$67)</f>
        <v>0</v>
      </c>
      <c r="D35" s="40" t="n">
        <f aca="false">SUMIF(PERSONAL!$A$73:$A$76,A35,PERSONAL!$H$73:$H$76)</f>
        <v>0</v>
      </c>
      <c r="E35" s="40" t="n">
        <f aca="false">SUMIF(PERSONAL!$A$36:$A$60,A35,PERSONAL!$K$36:$K$60)</f>
        <v>587.58</v>
      </c>
      <c r="F35" s="40" t="n">
        <f aca="false">SUMIF(PERSONAL!$A$6:$A$30,A35,PERSONAL!$K$6:$K$30)</f>
        <v>659.36</v>
      </c>
      <c r="G35" s="41" t="n">
        <f aca="false">C35+D35+E35+F35</f>
        <v>1246.94</v>
      </c>
    </row>
    <row r="36" customFormat="false" ht="15" hidden="false" customHeight="false" outlineLevel="0" collapsed="false">
      <c r="A36" s="26" t="s">
        <v>352</v>
      </c>
      <c r="B36" s="39" t="str">
        <f aca="false">VLOOKUP(A36,ACTIVIDADES!$A$5:$C$50,3,FALSE())</f>
        <v>Volcado automatizado al CUE</v>
      </c>
      <c r="C36" s="40" t="n">
        <f aca="false">SUMIF(PERSONAL!$A$66:$A$67,A36,PERSONAL!$H$66:$H$67)</f>
        <v>0</v>
      </c>
      <c r="D36" s="40" t="n">
        <f aca="false">SUMIF(PERSONAL!$A$73:$A$76,A36,PERSONAL!$H$73:$H$76)</f>
        <v>0</v>
      </c>
      <c r="E36" s="40" t="n">
        <f aca="false">SUMIF(PERSONAL!$A$36:$A$60,A36,PERSONAL!$K$36:$K$60)</f>
        <v>419.7</v>
      </c>
      <c r="F36" s="40" t="n">
        <f aca="false">SUMIF(PERSONAL!$A$6:$A$30,A36,PERSONAL!$K$6:$K$30)</f>
        <v>335.76</v>
      </c>
      <c r="G36" s="41" t="n">
        <f aca="false">C36+D36+E36+F36</f>
        <v>755.46</v>
      </c>
    </row>
    <row r="37" customFormat="false" ht="15" hidden="false" customHeight="false" outlineLevel="0" collapsed="false">
      <c r="A37" s="26" t="s">
        <v>361</v>
      </c>
      <c r="B37" s="39" t="str">
        <f aca="false">VLOOKUP(A37,ACTIVIDADES!$A$5:$C$50,3,FALSE())</f>
        <v>Levantamiento de la estructura del domo</v>
      </c>
      <c r="C37" s="40" t="n">
        <f aca="false">SUMIF(PERSONAL!$A$66:$A$67,A37,PERSONAL!$H$66:$H$67)</f>
        <v>0</v>
      </c>
      <c r="D37" s="40" t="n">
        <f aca="false">SUMIF(PERSONAL!$A$73:$A$76,A37,PERSONAL!$H$73:$H$76)</f>
        <v>4500</v>
      </c>
      <c r="E37" s="40" t="n">
        <f aca="false">SUMIF(PERSONAL!$A$36:$A$60,A37,PERSONAL!$K$36:$K$60)</f>
        <v>839.4</v>
      </c>
      <c r="F37" s="40" t="n">
        <f aca="false">SUMIF(PERSONAL!$A$6:$A$30,A37,PERSONAL!$K$6:$K$30)</f>
        <v>2142.36</v>
      </c>
      <c r="G37" s="41" t="n">
        <f aca="false">C37+D37+E37+F37</f>
        <v>7481.76</v>
      </c>
    </row>
    <row r="38" customFormat="false" ht="15" hidden="false" customHeight="false" outlineLevel="0" collapsed="false">
      <c r="A38" s="26" t="s">
        <v>365</v>
      </c>
      <c r="B38" s="39" t="str">
        <f aca="false">VLOOKUP(A38,ACTIVIDADES!$A$5:$C$50,3,FALSE())</f>
        <v>Anclajes y fijaciones del domo</v>
      </c>
      <c r="C38" s="40" t="n">
        <f aca="false">SUMIF(PERSONAL!$A$66:$A$67,A38,PERSONAL!$H$66:$H$67)</f>
        <v>0</v>
      </c>
      <c r="D38" s="40" t="n">
        <f aca="false">SUMIF(PERSONAL!$A$73:$A$76,A38,PERSONAL!$H$73:$H$76)</f>
        <v>2700</v>
      </c>
      <c r="E38" s="40" t="n">
        <f aca="false">SUMIF(PERSONAL!$A$36:$A$60,A38,PERSONAL!$K$36:$K$60)</f>
        <v>419.7</v>
      </c>
      <c r="F38" s="40" t="n">
        <f aca="false">SUMIF(PERSONAL!$A$6:$A$30,A38,PERSONAL!$K$6:$K$30)</f>
        <v>1046.24</v>
      </c>
      <c r="G38" s="41" t="n">
        <f aca="false">C38+D38+E38+F38</f>
        <v>4165.94</v>
      </c>
    </row>
    <row r="39" customFormat="false" ht="15" hidden="false" customHeight="false" outlineLevel="0" collapsed="false">
      <c r="A39" s="26" t="s">
        <v>367</v>
      </c>
      <c r="B39" s="39" t="str">
        <f aca="false">VLOOKUP(A39,ACTIVIDADES!$A$5:$C$50,3,FALSE())</f>
        <v>Cubierta y entelado del domo</v>
      </c>
      <c r="C39" s="40" t="n">
        <f aca="false">SUMIF(PERSONAL!$A$66:$A$67,A39,PERSONAL!$H$66:$H$67)</f>
        <v>0</v>
      </c>
      <c r="D39" s="40" t="n">
        <f aca="false">SUMIF(PERSONAL!$A$73:$A$76,A39,PERSONAL!$H$73:$H$76)</f>
        <v>2700</v>
      </c>
      <c r="E39" s="40" t="n">
        <f aca="false">SUMIF(PERSONAL!$A$36:$A$60,A39,PERSONAL!$K$36:$K$60)</f>
        <v>839.4</v>
      </c>
      <c r="F39" s="40" t="n">
        <f aca="false">SUMIF(PERSONAL!$A$6:$A$30,A39,PERSONAL!$K$6:$K$30)</f>
        <v>523.12</v>
      </c>
      <c r="G39" s="41" t="n">
        <f aca="false">C39+D39+E39+F39</f>
        <v>4062.52</v>
      </c>
    </row>
    <row r="40" customFormat="false" ht="15" hidden="false" customHeight="false" outlineLevel="0" collapsed="false">
      <c r="A40" s="26" t="s">
        <v>370</v>
      </c>
      <c r="B40" s="39" t="str">
        <f aca="false">VLOOKUP(A40,ACTIVIDADES!$A$5:$C$50,3,FALSE())</f>
        <v>Acabado e impermeabilización con corcho</v>
      </c>
      <c r="C40" s="40" t="n">
        <f aca="false">SUMIF(PERSONAL!$A$66:$A$67,A40,PERSONAL!$H$66:$H$67)</f>
        <v>0</v>
      </c>
      <c r="D40" s="40" t="n">
        <f aca="false">SUMIF(PERSONAL!$A$73:$A$76,A40,PERSONAL!$H$73:$H$76)</f>
        <v>0</v>
      </c>
      <c r="E40" s="40" t="n">
        <f aca="false">SUMIF(PERSONAL!$A$36:$A$60,A40,PERSONAL!$K$36:$K$60)</f>
        <v>419.7</v>
      </c>
      <c r="F40" s="40" t="n">
        <f aca="false">SUMIF(PERSONAL!$A$6:$A$30,A40,PERSONAL!$K$6:$K$30)</f>
        <v>311.44</v>
      </c>
      <c r="G40" s="41" t="n">
        <f aca="false">C40+D40+E40+F40</f>
        <v>731.14</v>
      </c>
    </row>
    <row r="41" customFormat="false" ht="15" hidden="false" customHeight="false" outlineLevel="0" collapsed="false">
      <c r="A41" s="26" t="s">
        <v>373</v>
      </c>
      <c r="B41" s="39" t="str">
        <f aca="false">VLOOKUP(A41,ACTIVIDADES!$A$5:$C$50,3,FALSE())</f>
        <v>Instalación fotovoltaica</v>
      </c>
      <c r="C41" s="40" t="n">
        <f aca="false">SUMIF(PERSONAL!$A$66:$A$67,A41,PERSONAL!$H$66:$H$67)</f>
        <v>0</v>
      </c>
      <c r="D41" s="40" t="n">
        <f aca="false">SUMIF(PERSONAL!$A$73:$A$76,A41,PERSONAL!$H$73:$H$76)</f>
        <v>1440</v>
      </c>
      <c r="E41" s="40" t="n">
        <f aca="false">SUMIF(PERSONAL!$A$36:$A$60,A41,PERSONAL!$K$36:$K$60)</f>
        <v>419.7</v>
      </c>
      <c r="F41" s="40" t="n">
        <f aca="false">SUMIF(PERSONAL!$A$6:$A$30,A41,PERSONAL!$K$6:$K$30)</f>
        <v>311.44</v>
      </c>
      <c r="G41" s="41" t="n">
        <f aca="false">C41+D41+E41+F41</f>
        <v>2171.14</v>
      </c>
    </row>
    <row r="42" customFormat="false" ht="15" hidden="false" customHeight="false" outlineLevel="0" collapsed="false">
      <c r="A42" s="26" t="s">
        <v>376</v>
      </c>
      <c r="B42" s="39" t="str">
        <f aca="false">VLOOKUP(A42,ACTIVIDADES!$A$5:$C$50,3,FALSE())</f>
        <v>Conectividad satelital y red</v>
      </c>
      <c r="C42" s="40" t="n">
        <f aca="false">SUMIF(PERSONAL!$A$66:$A$67,A42,PERSONAL!$H$66:$H$67)</f>
        <v>0</v>
      </c>
      <c r="D42" s="40" t="n">
        <f aca="false">SUMIF(PERSONAL!$A$73:$A$76,A42,PERSONAL!$H$73:$H$76)</f>
        <v>0</v>
      </c>
      <c r="E42" s="40" t="n">
        <f aca="false">SUMIF(PERSONAL!$A$36:$A$60,A42,PERSONAL!$K$36:$K$60)</f>
        <v>419.7</v>
      </c>
      <c r="F42" s="40" t="n">
        <f aca="false">SUMIF(PERSONAL!$A$6:$A$30,A42,PERSONAL!$K$6:$K$30)</f>
        <v>223.84</v>
      </c>
      <c r="G42" s="41" t="n">
        <f aca="false">C42+D42+E42+F42</f>
        <v>643.54</v>
      </c>
    </row>
    <row r="43" customFormat="false" ht="15" hidden="false" customHeight="false" outlineLevel="0" collapsed="false">
      <c r="A43" s="26" t="s">
        <v>378</v>
      </c>
      <c r="B43" s="39" t="str">
        <f aca="false">VLOOKUP(A43,ACTIVIDADES!$A$5:$C$50,3,FALSE())</f>
        <v>Despliegue de sensores en la huerta</v>
      </c>
      <c r="C43" s="40" t="n">
        <f aca="false">SUMIF(PERSONAL!$A$66:$A$67,A43,PERSONAL!$H$66:$H$67)</f>
        <v>0</v>
      </c>
      <c r="D43" s="40" t="n">
        <f aca="false">SUMIF(PERSONAL!$A$73:$A$76,A43,PERSONAL!$H$73:$H$76)</f>
        <v>0</v>
      </c>
      <c r="E43" s="40" t="n">
        <f aca="false">SUMIF(PERSONAL!$A$36:$A$60,A43,PERSONAL!$K$36:$K$60)</f>
        <v>839.4</v>
      </c>
      <c r="F43" s="40" t="n">
        <f aca="false">SUMIF(PERSONAL!$A$6:$A$30,A43,PERSONAL!$K$6:$K$30)</f>
        <v>771.28</v>
      </c>
      <c r="G43" s="41" t="n">
        <f aca="false">C43+D43+E43+F43</f>
        <v>1610.68</v>
      </c>
    </row>
    <row r="44" customFormat="false" ht="15" hidden="false" customHeight="false" outlineLevel="0" collapsed="false">
      <c r="A44" s="26" t="s">
        <v>381</v>
      </c>
      <c r="B44" s="39" t="str">
        <f aca="false">VLOOKUP(A44,ACTIVIDADES!$A$5:$C$50,3,FALSE())</f>
        <v>Vuelo dronístico RGB + multiespectral</v>
      </c>
      <c r="C44" s="40" t="n">
        <f aca="false">SUMIF(PERSONAL!$A$66:$A$67,A44,PERSONAL!$H$66:$H$67)</f>
        <v>0</v>
      </c>
      <c r="D44" s="40" t="n">
        <f aca="false">SUMIF(PERSONAL!$A$73:$A$76,A44,PERSONAL!$H$73:$H$76)</f>
        <v>0</v>
      </c>
      <c r="E44" s="40" t="n">
        <f aca="false">SUMIF(PERSONAL!$A$36:$A$60,A44,PERSONAL!$K$36:$K$60)</f>
        <v>587.58</v>
      </c>
      <c r="F44" s="40" t="n">
        <f aca="false">SUMIF(PERSONAL!$A$6:$A$30,A44,PERSONAL!$K$6:$K$30)</f>
        <v>671.52</v>
      </c>
      <c r="G44" s="41" t="n">
        <f aca="false">C44+D44+E44+F44</f>
        <v>1259.1</v>
      </c>
    </row>
    <row r="45" customFormat="false" ht="15" hidden="false" customHeight="false" outlineLevel="0" collapsed="false">
      <c r="A45" s="26" t="s">
        <v>384</v>
      </c>
      <c r="B45" s="39" t="str">
        <f aca="false">VLOOKUP(A45,ACTIVIDADES!$A$5:$C$50,3,FALSE())</f>
        <v>Jornada de inicio del ciclo otoño</v>
      </c>
      <c r="C45" s="40" t="n">
        <f aca="false">SUMIF(PERSONAL!$A$66:$A$67,A45,PERSONAL!$H$66:$H$67)</f>
        <v>0</v>
      </c>
      <c r="D45" s="40" t="n">
        <f aca="false">SUMIF(PERSONAL!$A$73:$A$76,A45,PERSONAL!$H$73:$H$76)</f>
        <v>0</v>
      </c>
      <c r="E45" s="40" t="n">
        <f aca="false">SUMIF(PERSONAL!$A$36:$A$60,A45,PERSONAL!$K$36:$K$60)</f>
        <v>419.7</v>
      </c>
      <c r="F45" s="40" t="n">
        <f aca="false">SUMIF(PERSONAL!$A$6:$A$30,A45,PERSONAL!$K$6:$K$30)</f>
        <v>423.36</v>
      </c>
      <c r="G45" s="41" t="n">
        <f aca="false">C45+D45+E45+F45</f>
        <v>843.06</v>
      </c>
    </row>
    <row r="46" customFormat="false" ht="15" hidden="false" customHeight="false" outlineLevel="0" collapsed="false">
      <c r="A46" s="26" t="s">
        <v>387</v>
      </c>
      <c r="B46" s="39" t="str">
        <f aca="false">VLOOKUP(A46,ACTIVIDADES!$A$5:$C$50,3,FALSE())</f>
        <v>Seguimiento medio ciclo otoño</v>
      </c>
      <c r="C46" s="40" t="n">
        <f aca="false">SUMIF(PERSONAL!$A$66:$A$67,A46,PERSONAL!$H$66:$H$67)</f>
        <v>0</v>
      </c>
      <c r="D46" s="40" t="n">
        <f aca="false">SUMIF(PERSONAL!$A$73:$A$76,A46,PERSONAL!$H$73:$H$76)</f>
        <v>0</v>
      </c>
      <c r="E46" s="40" t="n">
        <f aca="false">SUMIF(PERSONAL!$A$36:$A$60,A46,PERSONAL!$K$36:$K$60)</f>
        <v>419.7</v>
      </c>
      <c r="F46" s="40" t="n">
        <f aca="false">SUMIF(PERSONAL!$A$6:$A$30,A46,PERSONAL!$K$6:$K$30)</f>
        <v>846.72</v>
      </c>
      <c r="G46" s="41" t="n">
        <f aca="false">C46+D46+E46+F46</f>
        <v>1266.42</v>
      </c>
    </row>
    <row r="47" customFormat="false" ht="15" hidden="false" customHeight="false" outlineLevel="0" collapsed="false">
      <c r="A47" s="26" t="s">
        <v>390</v>
      </c>
      <c r="B47" s="39" t="str">
        <f aca="false">VLOOKUP(A47,ACTIVIDADES!$A$5:$C$50,3,FALSE())</f>
        <v>Cosecha + lectura de datos otoño</v>
      </c>
      <c r="C47" s="40" t="n">
        <f aca="false">SUMIF(PERSONAL!$A$66:$A$67,A47,PERSONAL!$H$66:$H$67)</f>
        <v>0</v>
      </c>
      <c r="D47" s="40" t="n">
        <f aca="false">SUMIF(PERSONAL!$A$73:$A$76,A47,PERSONAL!$H$73:$H$76)</f>
        <v>0</v>
      </c>
      <c r="E47" s="40" t="n">
        <f aca="false">SUMIF(PERSONAL!$A$36:$A$60,A47,PERSONAL!$K$36:$K$60)</f>
        <v>419.7</v>
      </c>
      <c r="F47" s="40" t="n">
        <f aca="false">SUMIF(PERSONAL!$A$6:$A$30,A47,PERSONAL!$K$6:$K$30)</f>
        <v>423.36</v>
      </c>
      <c r="G47" s="41" t="n">
        <f aca="false">C47+D47+E47+F47</f>
        <v>843.06</v>
      </c>
    </row>
    <row r="48" customFormat="false" ht="15" hidden="false" customHeight="false" outlineLevel="0" collapsed="false">
      <c r="A48" s="26" t="s">
        <v>393</v>
      </c>
      <c r="B48" s="39" t="str">
        <f aca="false">VLOOKUP(A48,ACTIVIDADES!$A$5:$C$50,3,FALSE())</f>
        <v>Jornada de inicio del ciclo primavera</v>
      </c>
      <c r="C48" s="40" t="n">
        <f aca="false">SUMIF(PERSONAL!$A$66:$A$67,A48,PERSONAL!$H$66:$H$67)</f>
        <v>0</v>
      </c>
      <c r="D48" s="40" t="n">
        <f aca="false">SUMIF(PERSONAL!$A$73:$A$76,A48,PERSONAL!$H$73:$H$76)</f>
        <v>0</v>
      </c>
      <c r="E48" s="40" t="n">
        <f aca="false">SUMIF(PERSONAL!$A$36:$A$60,A48,PERSONAL!$K$36:$K$60)</f>
        <v>419.7</v>
      </c>
      <c r="F48" s="40" t="n">
        <f aca="false">SUMIF(PERSONAL!$A$6:$A$30,A48,PERSONAL!$K$6:$K$30)</f>
        <v>635.04</v>
      </c>
      <c r="G48" s="41" t="n">
        <f aca="false">C48+D48+E48+F48</f>
        <v>1054.74</v>
      </c>
    </row>
    <row r="49" customFormat="false" ht="15" hidden="false" customHeight="false" outlineLevel="0" collapsed="false">
      <c r="A49" s="26" t="s">
        <v>396</v>
      </c>
      <c r="B49" s="39" t="str">
        <f aca="false">VLOOKUP(A49,ACTIVIDADES!$A$5:$C$50,3,FALSE())</f>
        <v>Cosecha + lectura de datos primavera</v>
      </c>
      <c r="C49" s="40" t="n">
        <f aca="false">SUMIF(PERSONAL!$A$66:$A$67,A49,PERSONAL!$H$66:$H$67)</f>
        <v>0</v>
      </c>
      <c r="D49" s="40" t="n">
        <f aca="false">SUMIF(PERSONAL!$A$73:$A$76,A49,PERSONAL!$H$73:$H$76)</f>
        <v>0</v>
      </c>
      <c r="E49" s="40" t="n">
        <f aca="false">SUMIF(PERSONAL!$A$36:$A$60,A49,PERSONAL!$K$36:$K$60)</f>
        <v>419.7</v>
      </c>
      <c r="F49" s="40" t="n">
        <f aca="false">SUMIF(PERSONAL!$A$6:$A$30,A49,PERSONAL!$K$6:$K$30)</f>
        <v>846.72</v>
      </c>
      <c r="G49" s="41" t="n">
        <f aca="false">C49+D49+E49+F49</f>
        <v>1266.42</v>
      </c>
    </row>
    <row r="50" customFormat="false" ht="15" hidden="false" customHeight="false" outlineLevel="0" collapsed="false">
      <c r="A50" s="26" t="s">
        <v>399</v>
      </c>
      <c r="B50" s="39" t="str">
        <f aca="false">VLOOKUP(A50,ACTIVIDADES!$A$5:$C$50,3,FALSE())</f>
        <v>Jornada final de resultados del Living Lab</v>
      </c>
      <c r="C50" s="40" t="n">
        <f aca="false">SUMIF(PERSONAL!$A$66:$A$67,A50,PERSONAL!$H$66:$H$67)</f>
        <v>540</v>
      </c>
      <c r="D50" s="40" t="n">
        <f aca="false">SUMIF(PERSONAL!$A$73:$A$76,A50,PERSONAL!$H$73:$H$76)</f>
        <v>0</v>
      </c>
      <c r="E50" s="40" t="n">
        <f aca="false">SUMIF(PERSONAL!$A$36:$A$60,A50,PERSONAL!$K$36:$K$60)</f>
        <v>419.7</v>
      </c>
      <c r="F50" s="40" t="n">
        <f aca="false">SUMIF(PERSONAL!$A$6:$A$30,A50,PERSONAL!$K$6:$K$30)</f>
        <v>167.88</v>
      </c>
      <c r="G50" s="41" t="n">
        <f aca="false">C50+D50+E50+F50</f>
        <v>1127.58</v>
      </c>
    </row>
    <row r="51" customFormat="false" ht="15" hidden="false" customHeight="false" outlineLevel="0" collapsed="false">
      <c r="A51" s="31"/>
      <c r="B51" s="32" t="s">
        <v>629</v>
      </c>
      <c r="C51" s="43" t="n">
        <f aca="false">SUM(C34:C50)</f>
        <v>540</v>
      </c>
      <c r="D51" s="43" t="n">
        <f aca="false">SUM(D34:D50)</f>
        <v>11340</v>
      </c>
      <c r="E51" s="43" t="n">
        <f aca="false">SUM(E34:E50)</f>
        <v>9149.46</v>
      </c>
      <c r="F51" s="43" t="n">
        <f aca="false">SUM(F34:F50)</f>
        <v>11987.84</v>
      </c>
      <c r="G51" s="43" t="n">
        <f aca="false">SUM(G34:G50)</f>
        <v>33017.3</v>
      </c>
    </row>
    <row r="53" customFormat="false" ht="15" hidden="false" customHeight="false" outlineLevel="0" collapsed="false">
      <c r="B53" s="52" t="s">
        <v>647</v>
      </c>
    </row>
    <row r="54" customFormat="false" ht="15" hidden="false" customHeight="false" outlineLevel="0" collapsed="false">
      <c r="B54" s="12" t="s">
        <v>48</v>
      </c>
      <c r="C54" s="12" t="s">
        <v>631</v>
      </c>
      <c r="D54" s="12" t="s">
        <v>632</v>
      </c>
    </row>
    <row r="55" customFormat="false" ht="15" hidden="false" customHeight="false" outlineLevel="0" collapsed="false">
      <c r="B55" s="27" t="s">
        <v>633</v>
      </c>
      <c r="C55" s="50" t="n">
        <f aca="false">PERSONAL!$H$83+PERSONAL!$H$85</f>
        <v>13990</v>
      </c>
      <c r="D55" s="27"/>
    </row>
    <row r="56" customFormat="false" ht="15" hidden="false" customHeight="false" outlineLevel="0" collapsed="false">
      <c r="B56" s="27" t="s">
        <v>634</v>
      </c>
      <c r="C56" s="50" t="n">
        <f aca="false">VIAJES!$N$35</f>
        <v>37142.85</v>
      </c>
      <c r="D56" s="27"/>
    </row>
    <row r="57" customFormat="false" ht="15" hidden="false" customHeight="false" outlineLevel="0" collapsed="false">
      <c r="B57" s="27" t="s">
        <v>635</v>
      </c>
      <c r="C57" s="50" t="n">
        <f aca="false">SUMIFS(MATERIALES!$E$5:$E$14,MATERIALES!$A$5:$A$14,"B.2",MATERIALES!$J$5:$J$14,"P2")</f>
        <v>0</v>
      </c>
      <c r="D57" s="27"/>
    </row>
    <row r="58" customFormat="false" ht="15" hidden="false" customHeight="false" outlineLevel="0" collapsed="false">
      <c r="B58" s="27" t="s">
        <v>636</v>
      </c>
      <c r="C58" s="50" t="n">
        <f aca="false">SUMIFS(MATERIALES!$E$5:$E$14,MATERIALES!$A$5:$A$14,"B.3",MATERIALES!$J$5:$J$14,"P2")</f>
        <v>1260</v>
      </c>
      <c r="D58" s="27"/>
    </row>
    <row r="59" customFormat="false" ht="15" hidden="false" customHeight="false" outlineLevel="0" collapsed="false">
      <c r="B59" s="27" t="s">
        <v>637</v>
      </c>
      <c r="C59" s="50" t="n">
        <f aca="false">SUMIFS(MATERIALES!$E$5:$E$14,MATERIALES!$A$5:$A$14,"B.4",MATERIALES!$J$5:$J$14,"P2")</f>
        <v>600</v>
      </c>
      <c r="D59" s="27"/>
    </row>
    <row r="60" customFormat="false" ht="15" hidden="false" customHeight="false" outlineLevel="0" collapsed="false">
      <c r="B60" s="27" t="s">
        <v>638</v>
      </c>
      <c r="C60" s="50" t="n">
        <f aca="false">SUMIFS(MATERIALES!$E$5:$E$14,MATERIALES!$A$5:$A$14,"B.5",MATERIALES!$J$5:$J$14,"P2")</f>
        <v>2800</v>
      </c>
      <c r="D60" s="27"/>
    </row>
    <row r="61" customFormat="false" ht="15" hidden="false" customHeight="false" outlineLevel="0" collapsed="false">
      <c r="B61" s="27" t="s">
        <v>639</v>
      </c>
      <c r="C61" s="50" t="n">
        <f aca="false">SUMIFS(MATERIALES!$E$5:$E$14,MATERIALES!$A$5:$A$14,"B.6",MATERIALES!$J$5:$J$14,"P2")</f>
        <v>3500</v>
      </c>
      <c r="D61" s="27"/>
    </row>
    <row r="62" customFormat="false" ht="15" hidden="false" customHeight="false" outlineLevel="0" collapsed="false">
      <c r="B62" s="27" t="s">
        <v>640</v>
      </c>
      <c r="C62" s="50" t="n">
        <f aca="false">SUMIFS(MATERIALES!$E$5:$E$14,MATERIALES!$A$5:$A$14,"B.7",MATERIALES!$J$5:$J$14,"P2")</f>
        <v>1000</v>
      </c>
      <c r="D62" s="27"/>
    </row>
    <row r="63" customFormat="false" ht="15" hidden="false" customHeight="false" outlineLevel="0" collapsed="false">
      <c r="B63" s="27" t="s">
        <v>641</v>
      </c>
      <c r="C63" s="50" t="n">
        <f aca="false">INVERSIONES!$F$9</f>
        <v>4264.70588235294</v>
      </c>
      <c r="D63" s="27"/>
    </row>
    <row r="64" customFormat="false" ht="15" hidden="false" customHeight="false" outlineLevel="0" collapsed="false">
      <c r="B64" s="27" t="s">
        <v>642</v>
      </c>
      <c r="C64" s="50" t="n">
        <f aca="false">SUMIFS(INVERSIONES!$E$14:$E$23,INVERSIONES!$F$14:$F$23,"P2")</f>
        <v>42000</v>
      </c>
      <c r="D64" s="27"/>
    </row>
    <row r="65" customFormat="false" ht="15" hidden="false" customHeight="false" outlineLevel="0" collapsed="false">
      <c r="B65" s="26" t="s">
        <v>643</v>
      </c>
      <c r="C65" s="41" t="n">
        <f aca="false">($G$51+C55)*tasa_ind</f>
        <v>7051.095</v>
      </c>
      <c r="D65" s="27"/>
    </row>
    <row r="66" customFormat="false" ht="15" hidden="false" customHeight="false" outlineLevel="0" collapsed="false">
      <c r="B66" s="32" t="s">
        <v>644</v>
      </c>
      <c r="C66" s="43" t="n">
        <f aca="false">SUM(C55:C65)</f>
        <v>113608.650882353</v>
      </c>
      <c r="D66" s="31"/>
    </row>
    <row r="67" customFormat="false" ht="15" hidden="false" customHeight="false" outlineLevel="0" collapsed="false">
      <c r="B67" s="53" t="s">
        <v>648</v>
      </c>
      <c r="C67" s="54" t="n">
        <f aca="false">$G$51+$C$66</f>
        <v>146625.950882353</v>
      </c>
      <c r="D67" s="55"/>
    </row>
    <row r="69" customFormat="false" ht="27.75" hidden="false" customHeight="true" outlineLevel="0" collapsed="false">
      <c r="B69" s="56" t="s">
        <v>649</v>
      </c>
      <c r="C69" s="57" t="n">
        <f aca="false">PRESUPUESTO!$C$30+PRESUPUESTO!$C$67</f>
        <v>218910.477</v>
      </c>
    </row>
    <row r="71" customFormat="false" ht="15" hidden="false" customHeight="false" outlineLevel="0" collapsed="false">
      <c r="B71" s="15" t="s">
        <v>650</v>
      </c>
      <c r="C71" s="58" t="n">
        <f aca="false">PERSONAL!$H$68+PERSONAL!$H$77+PERSONAL!$K$61+PERSONAL!$K$31+PERSONAL!$H$86+VIAJES!$N$33+SUMIF(MATERIALES!$A$5:$A$14,"B.2",MATERIALES!$E$5:$E$14)+SUMIF(MATERIALES!$A$5:$A$14,"B.3",MATERIALES!$E$5:$E$14)+SUMIF(MATERIALES!$A$5:$A$14,"B.4",MATERIALES!$E$5:$E$14)+SUMIF(MATERIALES!$A$5:$A$14,"B.5",MATERIALES!$E$5:$E$14)+SUMIF(MATERIALES!$A$5:$A$14,"B.6",MATERIALES!$E$5:$E$14)+SUMIF(MATERIALES!$A$5:$A$14,"B.7",MATERIALES!$E$5:$E$14)+INVERSIONES!$G$9+INVERSIONES!$E$24</f>
        <v>205661.34</v>
      </c>
    </row>
    <row r="74" customFormat="false" ht="15" hidden="false" customHeight="true" outlineLevel="0" collapsed="false">
      <c r="A74" s="4" t="s">
        <v>651</v>
      </c>
      <c r="B74" s="4"/>
      <c r="C74" s="4"/>
      <c r="D74" s="4"/>
      <c r="E74" s="4"/>
      <c r="F74" s="4"/>
      <c r="G74" s="4"/>
      <c r="H74" s="4"/>
      <c r="I74" s="4"/>
      <c r="J74" s="4"/>
    </row>
    <row r="75" customFormat="false" ht="15" hidden="false" customHeight="false" outlineLevel="0" collapsed="false">
      <c r="A75" s="12"/>
      <c r="B75" s="12" t="s">
        <v>48</v>
      </c>
      <c r="C75" s="12" t="s">
        <v>49</v>
      </c>
      <c r="D75" s="12"/>
      <c r="E75" s="12" t="s">
        <v>554</v>
      </c>
      <c r="F75" s="12" t="s">
        <v>652</v>
      </c>
      <c r="G75" s="12" t="s">
        <v>653</v>
      </c>
    </row>
    <row r="76" customFormat="false" ht="15" hidden="false" customHeight="false" outlineLevel="0" collapsed="false">
      <c r="B76" s="27" t="s">
        <v>654</v>
      </c>
      <c r="C76" s="50" t="n">
        <f aca="false">PERSONAL!$H$86</f>
        <v>26525.04</v>
      </c>
      <c r="D76" s="27"/>
      <c r="E76" s="50" t="n">
        <f aca="false">PRESUPUESTO!$C$71*tope_coord</f>
        <v>41132.268</v>
      </c>
      <c r="F76" s="37" t="n">
        <f aca="false">C76/E76</f>
        <v>0.644871807214715</v>
      </c>
      <c r="G76" s="59" t="str">
        <f aca="false">IF(C76&lt;=E76,"OK","SUPERADO")</f>
        <v>OK</v>
      </c>
    </row>
    <row r="77" customFormat="false" ht="15" hidden="false" customHeight="false" outlineLevel="0" collapsed="false">
      <c r="B77" s="27" t="s">
        <v>655</v>
      </c>
      <c r="C77" s="50" t="n">
        <f aca="false">VIAJES!$N$33</f>
        <v>54683.76</v>
      </c>
      <c r="D77" s="27"/>
      <c r="E77" s="50" t="n">
        <f aca="false">PRESUPUESTO!$C$71*tope_viajes</f>
        <v>82264.536</v>
      </c>
      <c r="F77" s="37" t="n">
        <f aca="false">C77/E77</f>
        <v>0.66473066838911</v>
      </c>
      <c r="G77" s="59" t="str">
        <f aca="false">IF(C77&lt;=E77,"OK","SUPERADO")</f>
        <v>OK</v>
      </c>
    </row>
    <row r="78" customFormat="false" ht="15" hidden="false" customHeight="false" outlineLevel="0" collapsed="false">
      <c r="B78" s="27" t="s">
        <v>656</v>
      </c>
      <c r="C78" s="50" t="n">
        <f aca="false">INVERSIONES!$G$9+INVERSIONES!$E$24</f>
        <v>49250</v>
      </c>
      <c r="D78" s="27"/>
      <c r="E78" s="50" t="n">
        <f aca="false">PRESUPUESTO!$C$71*tope_inv</f>
        <v>102830.67</v>
      </c>
      <c r="F78" s="37" t="n">
        <f aca="false">C78/E78</f>
        <v>0.478942712325029</v>
      </c>
      <c r="G78" s="59" t="str">
        <f aca="false">IF(C78&lt;=E78,"OK","SUPERADO")</f>
        <v>OK</v>
      </c>
    </row>
    <row r="79" customFormat="false" ht="15" hidden="false" customHeight="false" outlineLevel="0" collapsed="false">
      <c r="B79" s="27" t="s">
        <v>657</v>
      </c>
      <c r="C79" s="50" t="n">
        <f aca="false">SUMIF(MATERIALES!$A$5:$A$14,"B.2",MATERIALES!$E$5:$E$14)</f>
        <v>1000</v>
      </c>
      <c r="D79" s="27"/>
      <c r="E79" s="50" t="n">
        <f aca="false">tope_ent</f>
        <v>5000</v>
      </c>
      <c r="F79" s="37" t="n">
        <f aca="false">C79/E79</f>
        <v>0.2</v>
      </c>
      <c r="G79" s="59" t="str">
        <f aca="false">IF(C79&lt;=E79,"OK","SUPERADO")</f>
        <v>OK</v>
      </c>
    </row>
    <row r="80" customFormat="false" ht="15" hidden="false" customHeight="false" outlineLevel="0" collapsed="false">
      <c r="B80" s="27" t="s">
        <v>658</v>
      </c>
      <c r="C80" s="50" t="n">
        <f aca="false">SUMIF(MATERIALES!$A$5:$A$14,"B.4",MATERIALES!$E$5:$E$14)</f>
        <v>1000</v>
      </c>
      <c r="D80" s="27"/>
      <c r="E80" s="50" t="n">
        <f aca="false">tope_seg</f>
        <v>1000</v>
      </c>
      <c r="F80" s="37" t="n">
        <f aca="false">C80/E80</f>
        <v>1</v>
      </c>
      <c r="G80" s="59" t="str">
        <f aca="false">IF(C80&lt;=E80,"OK","SUPERADO")</f>
        <v>OK</v>
      </c>
    </row>
    <row r="81" customFormat="false" ht="15" hidden="false" customHeight="false" outlineLevel="0" collapsed="false">
      <c r="B81" s="27" t="s">
        <v>659</v>
      </c>
      <c r="C81" s="50" t="n">
        <f aca="false">SUMIF(MATERIALES!$A$5:$A$14,"B.7",MATERIALES!$E$5:$E$14)</f>
        <v>1500</v>
      </c>
      <c r="D81" s="27"/>
      <c r="E81" s="50" t="n">
        <f aca="false">tope_com</f>
        <v>1500</v>
      </c>
      <c r="F81" s="37" t="n">
        <f aca="false">C81/E81</f>
        <v>1</v>
      </c>
      <c r="G81" s="59" t="str">
        <f aca="false">IF(C81&lt;=E81,"OK","SUPERADO")</f>
        <v>OK</v>
      </c>
    </row>
    <row r="82" customFormat="false" ht="15" hidden="false" customHeight="false" outlineLevel="0" collapsed="false">
      <c r="B82" s="27" t="s">
        <v>660</v>
      </c>
      <c r="C82" s="50" t="n">
        <f aca="false">PRESUPUESTO!$C$69</f>
        <v>218910.477</v>
      </c>
      <c r="D82" s="27"/>
      <c r="E82" s="50" t="n">
        <f aca="false">tope_subv</f>
        <v>500000</v>
      </c>
      <c r="F82" s="37" t="n">
        <f aca="false">C82/E82</f>
        <v>0.437820954</v>
      </c>
      <c r="G82" s="59" t="str">
        <f aca="false">IF(C82&lt;=E82,"OK","SUPERADO")</f>
        <v>OK</v>
      </c>
    </row>
    <row r="83" customFormat="false" ht="15" hidden="false" customHeight="false" outlineLevel="0" collapsed="false">
      <c r="B83" s="27" t="s">
        <v>661</v>
      </c>
      <c r="C83" s="50" t="n">
        <f aca="false">PRESUPUESTO!$C$69</f>
        <v>218910.477</v>
      </c>
      <c r="D83" s="27"/>
      <c r="E83" s="50" t="n">
        <f aca="false">min_subv</f>
        <v>70000</v>
      </c>
      <c r="F83" s="37" t="n">
        <f aca="false">C83/E83</f>
        <v>3.12729252857143</v>
      </c>
      <c r="G83" s="59" t="str">
        <f aca="false">IF(C83&gt;=E83,"OK","BAJO MIN")</f>
        <v>OK</v>
      </c>
    </row>
  </sheetData>
  <mergeCells count="5">
    <mergeCell ref="A1:J1"/>
    <mergeCell ref="A2:J2"/>
    <mergeCell ref="A4:J4"/>
    <mergeCell ref="A32:J32"/>
    <mergeCell ref="A74:J74"/>
  </mergeCells>
  <conditionalFormatting sqref="B76:G83">
    <cfRule type="expression" priority="2" aboveAverage="0" equalAverage="0" bottom="0" percent="0" rank="0" text="" dxfId="0">
      <formula>$G76="SUPERADO"</formula>
    </cfRule>
    <cfRule type="expression" priority="3" aboveAverage="0" equalAverage="0" bottom="0" percent="0" rank="0" text="" dxfId="1">
      <formula>$G76="BAJO MIN"</formula>
    </cfRule>
    <cfRule type="expression" priority="4" aboveAverage="0" equalAverage="0" bottom="0" percent="0" rank="0" text="" dxfId="2">
      <formula>$G76="OK"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2026-05-10T09:16:14Z</dcterms:created>
  <dc:creator>openpyxl</dc:creator>
  <dc:description/>
  <dc:language>en-US</dc:language>
  <cp:lastModifiedBy/>
  <dcterms:modified xsi:type="dcterms:W3CDTF">2026-05-10T09:16:14Z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