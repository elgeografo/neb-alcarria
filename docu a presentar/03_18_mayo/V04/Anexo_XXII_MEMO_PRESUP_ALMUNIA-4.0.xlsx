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2"/>
  </bookViews>
  <sheets>
    <sheet name="INSTRUCCIONES" sheetId="1" state="visible" r:id="rId3"/>
    <sheet name="EXENCIÓN IVA (P.X)" sheetId="2" state="visible" r:id="rId4"/>
    <sheet name="DESGLOSE PRESUP (PI-II.B)_AGRUP" sheetId="3" state="visible" r:id="rId5"/>
    <sheet name="GASTOS PERSONAL P.X M1" sheetId="4" state="visible" r:id="rId6"/>
    <sheet name="GASTOS TAM_P.X M1" sheetId="5" state="visible" r:id="rId7"/>
    <sheet name="PROVEEDORES PXX-AGRUPACION" sheetId="6" state="visible" r:id="rId8"/>
    <sheet name="GASTOS PERSONAL P.X M2" sheetId="7" state="visible" r:id="rId9"/>
    <sheet name="GASTOS TAM_P.X M2" sheetId="8" state="visible" r:id="rId10"/>
  </sheets>
  <externalReferences>
    <externalReference r:id="rId11"/>
    <externalReference r:id="rId12"/>
    <externalReference r:id="rId13"/>
  </externalReferences>
  <definedNames>
    <definedName function="false" hidden="false" localSheetId="1" name="_xlnm.Print_Area" vbProcedure="false">'EXENCIÓN IVA (P.X)'!$B$1:$J$32</definedName>
    <definedName function="false" hidden="false" localSheetId="5" name="_xlnm.Print_Area" vbProcedure="false">'PROVEEDORES PXX-AGRUPACION'!$A$1:$R$17</definedName>
    <definedName function="false" hidden="false" name="Ambito" vbProcedure="false">'[1]Tablas '!$BU$4:$BU$6</definedName>
    <definedName function="false" hidden="false" name="Area" vbProcedure="false">[2]Tablas!$H$2:$M$2</definedName>
    <definedName function="false" hidden="false" name="Area2" vbProcedure="false">[2]Tablas!$O$2:$T$2</definedName>
    <definedName function="false" hidden="false" name="Booleano" vbProcedure="false">'[1]Tablas '!$A$4:$A$5</definedName>
    <definedName function="false" hidden="false" name="CCAA" vbProcedure="false">'[1]Tablas '!$J$2:$AA$2</definedName>
    <definedName function="false" hidden="false" name="CCAAUnica" vbProcedure="false">'[1]Tablas '!$J$2:$Z$2</definedName>
    <definedName function="false" hidden="false" name="EntidadMapa" vbProcedure="false">'[1]Tablas '!$AF$4:$AF$24</definedName>
    <definedName function="false" hidden="false" name="ExencionIva" vbProcedure="false">'[1]Tablas '!$AD$4:$AD$6</definedName>
    <definedName function="false" hidden="false" name="IVA" vbProcedure="false">[2]Tablas!$BC$4:$BC$6</definedName>
    <definedName function="false" hidden="false" name="Mapa" vbProcedure="false">[2]Tablas!$W$4:$W$24</definedName>
    <definedName function="false" hidden="false" name="Miembros" vbProcedure="false">'[1]Tablas '!$AH$4:$AH$7</definedName>
    <definedName function="false" hidden="false" name="MOD_V02" vbProcedure="false">INDIRECT(CONCATENATE("ST_",SUBSTITUTE(SUBSTITUTE(datos [3]generales!$D$92,",",)," ",)))</definedName>
    <definedName function="false" hidden="false" name="Paises" vbProcedure="false">'[1]Tablas '!$BS$13</definedName>
    <definedName function="false" hidden="false" name="País" vbProcedure="false">[2]Tablas!$BE$4:$BE$31</definedName>
    <definedName function="false" hidden="false" name="Personalidad" vbProcedure="false">'[1]Tablas '!$AB$4:$AB$5</definedName>
    <definedName function="false" hidden="false" name="ProvinciaEntidad" vbProcedure="false">INDIRECT(CONCATENATE("PR_",SUBSTITUTE(SUBSTITUTE(#REF!,",",)," ",)))</definedName>
    <definedName function="false" hidden="false" name="Provincias" vbProcedure="false">[3]Tablas!$BG$4:$BG$53</definedName>
    <definedName function="false" hidden="false" name="Subtema" vbProcedure="false">INDIRECT(CONCATENATE("ST_",SUBSTITUTE(SUBSTITUTE(datos [3]generales!$D$92,",",)," ",)))</definedName>
    <definedName function="false" hidden="false" name="Tipo" vbProcedure="false">[2]Tablas!$F$4:$F$6</definedName>
    <definedName function="false" hidden="false" name="TipoEntidad" vbProcedure="false">'[1]Tablas '!$AJ$4:$AJ$5</definedName>
    <definedName function="false" hidden="false" name="TipoInversion" vbProcedure="false">[2]Tablas!$BA$4:$BA$7</definedName>
    <definedName function="false" hidden="false" localSheetId="0" name="MOD_V02" vbProcedure="false">INDIRECT(CONCATENATE("ST_",SUBSTITUTE(SUBSTITUTE(datos [3]generales!$D$92,",",)," ",)))</definedName>
    <definedName function="false" hidden="false" localSheetId="0" name="ProvinciaEntidad" vbProcedure="false">INDIRECT(CONCATENATE("PR_",SUBSTITUTE(SUBSTITUTE(#REF!,",",)," ",)))</definedName>
    <definedName function="false" hidden="false" localSheetId="0" name="Subtema" vbProcedure="false">INDIRECT(CONCATENATE("ST_",SUBSTITUTE(SUBSTITUTE(datos [3]generales!$D$92,",",)," ",)))</definedName>
    <definedName function="false" hidden="false" localSheetId="1" name="MOD_V02" vbProcedure="false">INDIRECT(CONCATENATE("ST_",SUBSTITUTE(SUBSTITUTE(datos [3]generales!$D$92,",",)," ",)))</definedName>
    <definedName function="false" hidden="false" localSheetId="1" name="ProvinciaEntidad" vbProcedure="false">INDIRECT(CONCATENATE("PR_",SUBSTITUTE(SUBSTITUTE(#REF!,",",)," ",)))</definedName>
    <definedName function="false" hidden="false" localSheetId="1" name="Subtema" vbProcedure="false">INDIRECT(CONCATENATE("ST_",SUBSTITUTE(SUBSTITUTE(datos [3]generales!$D$92,",",)," ",)))</definedName>
    <definedName function="false" hidden="false" localSheetId="2" name="MOD_V02" vbProcedure="false">INDIRECT(CONCATENATE("ST_",SUBSTITUTE(SUBSTITUTE(datos [3]generales!$D$92,",",)," ",)))</definedName>
    <definedName function="false" hidden="false" localSheetId="2" name="ProvinciaEntidad" vbProcedure="false">INDIRECT(CONCATENATE("PR_",SUBSTITUTE(SUBSTITUTE(#REF!,",",)," ",)))</definedName>
    <definedName function="false" hidden="false" localSheetId="2" name="Subtema" vbProcedure="false">INDIRECT(CONCATENATE("ST_",SUBSTITUTE(SUBSTITUTE(datos [3]generales!$D$92,",",)," ",)))</definedName>
    <definedName function="false" hidden="false" localSheetId="4" name="MOD_V02" vbProcedure="false">INDIRECT(CONCATENATE("ST_",SUBSTITUTE(SUBSTITUTE(datos [3]generales!$D$92,",",)," ",)))</definedName>
    <definedName function="false" hidden="false" localSheetId="4" name="ProvinciaEntidad" vbProcedure="false">INDIRECT(CONCATENATE("PR_",SUBSTITUTE(SUBSTITUTE(#REF!,",",)," ",)))</definedName>
    <definedName function="false" hidden="false" localSheetId="4" name="Subtema" vbProcedure="false">INDIRECT(CONCATENATE("ST_",SUBSTITUTE(SUBSTITUTE(datos [3]generales!$D$92,",",)," ",)))</definedName>
    <definedName function="false" hidden="false" localSheetId="5" name="MOD_V02" vbProcedure="false">INDIRECT(CONCATENATE("ST_",SUBSTITUTE(SUBSTITUTE(datos [3]generales!$D$92,",",)," ",)))</definedName>
    <definedName function="false" hidden="false" localSheetId="5" name="ProvinciaEntidad" vbProcedure="false">INDIRECT(CONCATENATE("PR_",SUBSTITUTE(SUBSTITUTE(#REF!,",",)," ",)))</definedName>
    <definedName function="false" hidden="false" localSheetId="5" name="Subtema" vbProcedure="false">INDIRECT(CONCATENATE("ST_",SUBSTITUTE(SUBSTITUTE(datos [3]generales!$D$92,",",)," ",)))</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<sst xmlns="http://schemas.openxmlformats.org/spreadsheetml/2006/main" count="1328" uniqueCount="200">
  <si>
    <t xml:space="preserve">Cofinanciado al 43% mediante el FONDO EUROPEO AGRARIO DE DESARROLLO RURAL (FEADER).</t>
  </si>
  <si>
    <t xml:space="preserve">INSTRUCCIONES PARA LA CORRECTA CUMPLIMENTACIÓN DE LAS PESTAÑAS PRESENTES EN EL DOCUMENTO “MEMORIA DE PRESUPUESTO"</t>
  </si>
  <si>
    <t xml:space="preserve">
- PESTAÑA "EXENCIÓN IVA" Para cumplimentar dicha pestaña, se presentan dos tablas en función del tipo de solicitante. Deberá completarse únicamente la tabla correspondiente a la petición de la propuesta y eliminar aquella que no se vaya a utilizar, con el fin de evitar posibles errores. En dicha tabla deberán incluirse las entidades que presenten exención de IVA, indicando el tipo de exención que corresponda.
- Según el tipo de solicitante, deberá cumplimentarse la pestaña denominada “DESGL PRESUP”. En ella se deberán detallar, para cada programa temático seleccionado, las actividades que se ejecutarán en la solicitud, los gastos imputados asociados y las partidas correspondientes.
En el caso de agrupaciones, deberán completarse las tablas indicando los gastos correspondientes a cada miembro solicitante, siguiendo la estructura establecida.
- En la pestaña “Gastos de personal P.X.”, deberán incluirse los distintos tipos de personal contemplados en la propuesta, especificando los datos recogidos en las tablas que se presentan en dicha pestaña. Si el tipo de solicitante fuera una entidad, se adaptarán las pestañas según el caso y se añadirán tantas tablas como solicitantes correspondan.
- En la pestaña “Gastos TAM”, se procederá del mismo modo: según el tipo de solicitante, deberán cumplimentarse las actividades con el código correspondiente y una breve descripción de las mismas.
- Con respecto a la pestaña de “PROVEEDORES-ENTIDAD y PROVEEDORES AGRUPACIÓN”, deberán incluirse aquellos proveedores cuyo importe total de gasto supere los 5.000 euros, tanto en subcontrataciones como en contrataciones e inversiones. Se deberá indicar la partida presupuestaria en la que se imputa el gasto, identificar el proveedor seleccionado y, en el caso de agrupaciones, especificar el miembro solicitante que asumirá dicho gasto. Asimismo, deberá indicarse el período de ejecución y la actividad con la que se asocia dicho gasto.
- Las tablas o la información contenida en las pestañas que no resulten aplicables a la propuesta o al tipo de solicitante seleccionado podrán ser modificadas o eliminadas según corresponda.</t>
  </si>
  <si>
    <t xml:space="preserve">PRESUPUESTO DESGLOSADO POR MIEMBROS Y PARTIDAS DE GASTO.  INTERVENCIÓN 7201 (INTERCAMBIO DE CONOCIMIENTOS Y ACTIVIDADES DE FORMACIÓN E INFORMACIÓN)</t>
  </si>
  <si>
    <t xml:space="preserve">PROGRAMA TEMÁTICO</t>
  </si>
  <si>
    <t xml:space="preserve">Programa I.B — Actividades demostrativas en digitalización</t>
  </si>
  <si>
    <t xml:space="preserve">Nombre de la entidad /agrupación</t>
  </si>
  <si>
    <t xml:space="preserve">ALMUNIA 4.0</t>
  </si>
  <si>
    <t xml:space="preserve">Nombre de la entidad representante de la agrupación</t>
  </si>
  <si>
    <t xml:space="preserve">Fundación COPRODELI</t>
  </si>
  <si>
    <t xml:space="preserve">NIF de la entidad representante </t>
  </si>
  <si>
    <t xml:space="preserve">G81984270</t>
  </si>
  <si>
    <t xml:space="preserve">(NO APLICA — la propuesta se presenta como AGRUPACIÓN)</t>
  </si>
  <si>
    <t xml:space="preserve">AGRUPACIÓN SOLICITANTE</t>
  </si>
  <si>
    <t xml:space="preserve">NOMBRE DEL MIEMBRO SOLICITANTE</t>
  </si>
  <si>
    <t xml:space="preserve">NIF</t>
  </si>
  <si>
    <t xml:space="preserve">PRESENTA EXENCIÓN DE IVA
(SÍ/NO)</t>
  </si>
  <si>
    <t xml:space="preserve">TIPO DE EXENCIÓN
 (TOTAL O PARCIAL)</t>
  </si>
  <si>
    <t xml:space="preserve">Universidad Politécnica de Madrid (UPM)</t>
  </si>
  <si>
    <t xml:space="preserve">[PENDIENTE — CIF UPM]</t>
  </si>
  <si>
    <t xml:space="preserve">SÍ</t>
  </si>
  <si>
    <t xml:space="preserve">TOTAL</t>
  </si>
  <si>
    <t xml:space="preserve">NO</t>
  </si>
  <si>
    <t xml:space="preserve">—</t>
  </si>
  <si>
    <t xml:space="preserve">PRESUPUESTO DESGLOSADO POR ACTIVIDADES Y PARTIDAS DE GASTO. INTERVENCIÓN 7201 (INTERCAMBIO DE CONOCIMIENTOS Y ACTIVIDADES DE FORMACIÓN E INFORMACIÓN)</t>
  </si>
  <si>
    <t xml:space="preserve">Nombre de la agrupación </t>
  </si>
  <si>
    <t xml:space="preserve">1. AGRUPACIONES</t>
  </si>
  <si>
    <t xml:space="preserve">ACTIVIDADES</t>
  </si>
  <si>
    <t xml:space="preserve">ACTIVIDAD A.1</t>
  </si>
  <si>
    <t xml:space="preserve">ACTIVIDAD A.2</t>
  </si>
  <si>
    <t xml:space="preserve">ACTIVIDAD A.3</t>
  </si>
  <si>
    <t xml:space="preserve">ACTIVIDAD A.4</t>
  </si>
  <si>
    <t xml:space="preserve">ACTIVIDAD A.5</t>
  </si>
  <si>
    <t xml:space="preserve">ACTIVIDAD A.6</t>
  </si>
  <si>
    <t xml:space="preserve">ACTIVIDAD A.7</t>
  </si>
  <si>
    <t xml:space="preserve">ACTIVIDAD A.8</t>
  </si>
  <si>
    <t xml:space="preserve">ACTIVIDAD A.9</t>
  </si>
  <si>
    <t xml:space="preserve">ACTIVIDAD A.10</t>
  </si>
  <si>
    <t xml:space="preserve">TOTALES POR MIEMBRO</t>
  </si>
  <si>
    <t xml:space="preserve">TOTALES</t>
  </si>
  <si>
    <t xml:space="preserve">MIEMBROS</t>
  </si>
  <si>
    <t xml:space="preserve">MIEMBRO 1</t>
  </si>
  <si>
    <t xml:space="preserve">MIEMBRO 2</t>
  </si>
  <si>
    <t xml:space="preserve">MIEMBRO 3</t>
  </si>
  <si>
    <t xml:space="preserve">MIEMBRO 4</t>
  </si>
  <si>
    <t xml:space="preserve">MIEMBRO 5</t>
  </si>
  <si>
    <t xml:space="preserve">A.1. Personal docente externo</t>
  </si>
  <si>
    <t xml:space="preserve">A.2. Personal de apoyo externo</t>
  </si>
  <si>
    <t xml:space="preserve">A.3. Personal docente propio</t>
  </si>
  <si>
    <t xml:space="preserve">A.4. Personal de apoyo propio</t>
  </si>
  <si>
    <t xml:space="preserve">A.5. Personal de coordinación propio</t>
  </si>
  <si>
    <t xml:space="preserve">B.1. Transporte, alojamiento y manutención</t>
  </si>
  <si>
    <t xml:space="preserve">B.2. Entornos virtuales</t>
  </si>
  <si>
    <t xml:space="preserve">B.3. Material didáctico, textos y fungibles</t>
  </si>
  <si>
    <t xml:space="preserve">B.4. Seguros acciones divulgativas</t>
  </si>
  <si>
    <t xml:space="preserve">B.5. Auditoría</t>
  </si>
  <si>
    <t xml:space="preserve">B.6. Alquileres</t>
  </si>
  <si>
    <t xml:space="preserve">B.7. Costes de comunicación</t>
  </si>
  <si>
    <t xml:space="preserve">C.1. Bienes inventariables</t>
  </si>
  <si>
    <t xml:space="preserve">C.2. Otras inversiones</t>
  </si>
  <si>
    <t xml:space="preserve">SUBCONTRATACIÓN</t>
  </si>
  <si>
    <t xml:space="preserve">PRESUPUESTO TOTAL</t>
  </si>
  <si>
    <t xml:space="preserve">ACTIVIDADES A.XX - A.XX</t>
  </si>
  <si>
    <t xml:space="preserve">TOTAL P1</t>
  </si>
  <si>
    <t xml:space="preserve">TOTAL P2</t>
  </si>
  <si>
    <t xml:space="preserve">P1</t>
  </si>
  <si>
    <t xml:space="preserve">P2</t>
  </si>
  <si>
    <t xml:space="preserve">PRESUPUESTO DESGLOSADO GASTOS DE PERSONAL (PARTIDA A)</t>
  </si>
  <si>
    <t xml:space="preserve">Nombre de la agrupación o entidad</t>
  </si>
  <si>
    <t xml:space="preserve">Nombre del representante de la agrupación o de la entidad</t>
  </si>
  <si>
    <t xml:space="preserve">NIF del representante o de la entidad representante </t>
  </si>
  <si>
    <t xml:space="preserve">MIEMBRO 1 — Universidad Politécnica de Madrid (UPM) (NIF: [PENDIENTE CIF UPM])</t>
  </si>
  <si>
    <t xml:space="preserve">Deberán tenerse en cuenta los límites establecidos en la convocatoria para los costes unitarios (€/h) de personal en cada caso</t>
  </si>
  <si>
    <t xml:space="preserve">PERIODO 1:</t>
  </si>
  <si>
    <t xml:space="preserve">PARTIDA A.1. PERSONAL DOCENTE EXTERNO</t>
  </si>
  <si>
    <t xml:space="preserve">PARTIDA A.2. PERSONAL DE APOYO EXTERNO</t>
  </si>
  <si>
    <t xml:space="preserve">PARTIDA A.3. PERSONAL DOCENTE PROPIO</t>
  </si>
  <si>
    <t xml:space="preserve">PARTIDA A.4. PERSONAL DE APOYO PROPIO</t>
  </si>
  <si>
    <t xml:space="preserve">PARTIDA A.5. PERSONAL DE COORDINACIÓN PROPIO</t>
  </si>
  <si>
    <t xml:space="preserve">PERIODO 1</t>
  </si>
  <si>
    <t xml:space="preserve">Actividad (CÓDIGO)</t>
  </si>
  <si>
    <t xml:space="preserve">(*)Horas Personal DOCENTE EXTERNO (h)</t>
  </si>
  <si>
    <t xml:space="preserve">COSTE UNITARIO  (€/h)</t>
  </si>
  <si>
    <t xml:space="preserve">Importe total DOCENTE EXTERNO / ACTIVIDAD (€)</t>
  </si>
  <si>
    <t xml:space="preserve">Horas Personal APOYO EXTERNO (h)</t>
  </si>
  <si>
    <t xml:space="preserve">Importe total APOYO EXTERNO / ACTIVIDAD (€)</t>
  </si>
  <si>
    <t xml:space="preserve">Horas Personal DOCENTE PROPIO (h)</t>
  </si>
  <si>
    <t xml:space="preserve">COSTE UNITARIO SIMPLIFICADO   (€/h)</t>
  </si>
  <si>
    <t xml:space="preserve">Importe total DOCENTE  PROPIO (€)</t>
  </si>
  <si>
    <t xml:space="preserve">Importe total AYUDA PROPIO (€)</t>
  </si>
  <si>
    <t xml:space="preserve">Horas Personal COORDINACIÓN PROPIO (h)</t>
  </si>
  <si>
    <t xml:space="preserve">Importe total COORDINACIÓN PROPIO (€)</t>
  </si>
  <si>
    <t xml:space="preserve">A.1</t>
  </si>
  <si>
    <t xml:space="preserve">A.2</t>
  </si>
  <si>
    <t xml:space="preserve">A.3</t>
  </si>
  <si>
    <t xml:space="preserve">A.4</t>
  </si>
  <si>
    <t xml:space="preserve">A.5</t>
  </si>
  <si>
    <t xml:space="preserve">A.6</t>
  </si>
  <si>
    <t xml:space="preserve">A.7</t>
  </si>
  <si>
    <t xml:space="preserve">A.8</t>
  </si>
  <si>
    <t xml:space="preserve">A.9</t>
  </si>
  <si>
    <t xml:space="preserve">A.10</t>
  </si>
  <si>
    <t xml:space="preserve">(…)</t>
  </si>
  <si>
    <t xml:space="preserve">(*)El total de horas para una determinada actividad (A.1, A.2…)deberá ser coincidente con el total de horas que resulte del desglose de personal de la tabla inferior para la misma actividad</t>
  </si>
  <si>
    <t xml:space="preserve">Personas (*)</t>
  </si>
  <si>
    <t xml:space="preserve">PROVEEDOR</t>
  </si>
  <si>
    <t xml:space="preserve">Actividad/es en la/s que participa</t>
  </si>
  <si>
    <t xml:space="preserve">Horas/actividad</t>
  </si>
  <si>
    <t xml:space="preserve"> Total horas del TRABAJADOR/DOCENTE EXT por ACTIVIDAD</t>
  </si>
  <si>
    <t xml:space="preserve"> Total horas del TRABAJADOR /APOYO EXT por ACTIVIDAD</t>
  </si>
  <si>
    <t xml:space="preserve">Actividad/s en la/s que participa</t>
  </si>
  <si>
    <t xml:space="preserve"> Total horas del TRABAJADOR/DOCENTE PROPIO por ACTIVIDAD</t>
  </si>
  <si>
    <t xml:space="preserve"> Total horas del TRABAJADOR/APOYO PROPIO por ACTIVIDAD</t>
  </si>
  <si>
    <t xml:space="preserve"> Total horas  de COORDINACIÓN/TRABAJADOR PROPIO por ACTIVIDAD</t>
  </si>
  <si>
    <t xml:space="preserve">DOCENTE 1 / TRABAJADOR 1</t>
  </si>
  <si>
    <t xml:space="preserve">APOYO 1 / TRABAJADOR 1</t>
  </si>
  <si>
    <t xml:space="preserve">COORDINACIÓN 1 / TRABAJADOR 1</t>
  </si>
  <si>
    <t xml:space="preserve">(...)</t>
  </si>
  <si>
    <t xml:space="preserve">DOCENTE 2 / TRABAJADOR 2</t>
  </si>
  <si>
    <t xml:space="preserve">APOYO 2 / TRABAJADOR 2</t>
  </si>
  <si>
    <t xml:space="preserve">COORDINACIÓN 2 / TRABAJADOR 2</t>
  </si>
  <si>
    <t xml:space="preserve">DOCENTE 3 / TRABAJADOR 3</t>
  </si>
  <si>
    <t xml:space="preserve">APOYO 3 / TRABAJADOR 3</t>
  </si>
  <si>
    <t xml:space="preserve">COORDINACIÓN 3 / TRABAJADOR 3</t>
  </si>
  <si>
    <t xml:space="preserve">DOCENTE 4 / TRABAJADOR 4</t>
  </si>
  <si>
    <t xml:space="preserve">APOYO 4 / TRABAJADOR 4</t>
  </si>
  <si>
    <t xml:space="preserve">COORDINACIÓN 4 / TRABAJADOR 4</t>
  </si>
  <si>
    <t xml:space="preserve">A DESIGNAR — pendiente nombre/NIF</t>
  </si>
  <si>
    <t xml:space="preserve">(*) Relación de trabajadores incluidos en el Modelo de relación de personal. El total de horas/trabajador debe coincidir con lo indicado en dicho modelo.</t>
  </si>
  <si>
    <t xml:space="preserve">PERIODO 2:</t>
  </si>
  <si>
    <t xml:space="preserve">PERIODO 2</t>
  </si>
  <si>
    <t xml:space="preserve">Horas Personal DOCENTE EXTERNO (h)</t>
  </si>
  <si>
    <t xml:space="preserve">PRESUPUESTO DESGLOSADO GASTOS TRANSPORTE, ALOJAMIENTO Y MANUTENCIÓN (PARTIDA B)</t>
  </si>
  <si>
    <t xml:space="preserve">MIEMBRO: Universidad Politécnica de Madrid (UPM) (NIF: [PENDIENTE CIF UPM])</t>
  </si>
  <si>
    <t xml:space="preserve">RESUMEN ACTIVIDADES CON GASTOS TAM:</t>
  </si>
  <si>
    <t xml:space="preserve">ACTIVIDAD (CÓDIGO)</t>
  </si>
  <si>
    <t xml:space="preserve">Nº de trabajadores previstos</t>
  </si>
  <si>
    <t xml:space="preserve">Transporte 
(SI/NO)</t>
  </si>
  <si>
    <t xml:space="preserve">Alojamiento 
(SI/NO)</t>
  </si>
  <si>
    <t xml:space="preserve">Manutención 
(SI/NO)</t>
  </si>
  <si>
    <t xml:space="preserve">TOTALES (SUMAR Nº DE CELDAS CON "SÍ")</t>
  </si>
  <si>
    <t xml:space="preserve">Nota: el Nº de personas incluye personal (docente, apoyo, coordinación) y participantes (profesionales y estudiantes), conforme al art. 8.1.a.5º RD 251/2024 y al apartado Quinto.1.a.3º de la convocatoria 2026. Imputado al miembro según % de coste.</t>
  </si>
  <si>
    <t xml:space="preserve">PARTIDA B.1.TRANSPORTE</t>
  </si>
  <si>
    <t xml:space="preserve">PARTIDA B.1. ALOJAMIENTO</t>
  </si>
  <si>
    <t xml:space="preserve">PARTIDA B.1 MANUTENCIÓN (DIETAS)</t>
  </si>
  <si>
    <t xml:space="preserve">BREVE DESCRIPCIÓN DEL GASTO TAM 
(BILLETES DE AVIÓN, TREN, TAXI, VEHÍCULO PARTICULAR, TRASNPORTE DISCRECIONAL, ...)</t>
  </si>
  <si>
    <t xml:space="preserve">Nº PERSONAS/VIAJES</t>
  </si>
  <si>
    <t xml:space="preserve">COSTE UNITARIO ESTIMADO TRANSPORTE</t>
  </si>
  <si>
    <t xml:space="preserve">IMPORTE TOTAL TRANSPORTE/ACTIVIDAD</t>
  </si>
  <si>
    <t xml:space="preserve">BREVE DESCRIPCIÓN DEL GASTO TAM 
(HABITACIONES HOTEL INDIVIDUAL, DOBLE, …)</t>
  </si>
  <si>
    <t xml:space="preserve">Nº PERSONAS/HABITACIONES</t>
  </si>
  <si>
    <t xml:space="preserve">COSTE UNITARIO ESTIMADO ALOJAMIENTO</t>
  </si>
  <si>
    <t xml:space="preserve">IMPORTE TOTAL ALOJAMIENTO/ACTIVIDAD</t>
  </si>
  <si>
    <t xml:space="preserve">BREVE DESCRIPCIÓN DEL GASTO TAM (SERVICIO CATERING, MEDIA DIETA, DIETA COMPLETA ...)</t>
  </si>
  <si>
    <t xml:space="preserve">Nº PERSONAS</t>
  </si>
  <si>
    <t xml:space="preserve">COSTE UNITARIO ESTIMADO MANUTENCIÓN</t>
  </si>
  <si>
    <t xml:space="preserve">IMPORTE TOTAL MANUTENCIÓN/ACTIVIDAD</t>
  </si>
  <si>
    <t xml:space="preserve">Vehículos COPRODELI + km Madrid-Pastrana (220 km I/V)</t>
  </si>
  <si>
    <t xml:space="preserve">Residencia COPRODELI (Pastrana)</t>
  </si>
  <si>
    <t xml:space="preserve">Manutención día completo COPRODELI</t>
  </si>
  <si>
    <t xml:space="preserve">* En el caso de contratación de servicios, se indicará el coste unitario (1 ud del servicio de transporte contratado) y a continuación se incluirá el importe total del servicio.</t>
  </si>
  <si>
    <t xml:space="preserve">PARTIDA A.3. MANUTENCIÓN (DIETAS)</t>
  </si>
  <si>
    <t xml:space="preserve">IMPORTE TOTAL TRASNPORTE/ACTIVIDAD</t>
  </si>
  <si>
    <t xml:space="preserve">Media dieta (sin pernocta)</t>
  </si>
  <si>
    <t xml:space="preserve">PRESUPUESTO DESGLOSADO DE ENTIDADES CONTRATADAS O SUBCONTRATADAS POR IMPORTE SUPERIOR A 5.000 € (Incluyendo inversiones)</t>
  </si>
  <si>
    <t xml:space="preserve">Nombre de la agrupación solicitante</t>
  </si>
  <si>
    <t xml:space="preserve">Nombre del representante de la agrupación solicitante</t>
  </si>
  <si>
    <t xml:space="preserve">NIF de la entidad representante de la agrupación solicitante</t>
  </si>
  <si>
    <t xml:space="preserve">(*) Se deberá introducir el importe con IVA cuando la entidad solicitante presente una exención total o parcial, la cual deberá coincidir con el importe imputado en el presupuesto.</t>
  </si>
  <si>
    <t xml:space="preserve">MIEMBRO 1: Universidad Politécnica de Madrid (UPM) — CIF [PENDIENTE]</t>
  </si>
  <si>
    <t xml:space="preserve"> PERIODO 1</t>
  </si>
  <si>
    <t xml:space="preserve"> PERIODO 2</t>
  </si>
  <si>
    <t xml:space="preserve">NOMBRE PROVEEDOR</t>
  </si>
  <si>
    <t xml:space="preserve">ID ACTIVIDAD</t>
  </si>
  <si>
    <t xml:space="preserve">PERIODO DE EJECUCIÓN</t>
  </si>
  <si>
    <t xml:space="preserve">DESCRIPCIÓN CONTRATACIÓN/SUBCONTRATACIÓN/INVERSIÓN</t>
  </si>
  <si>
    <t xml:space="preserve">PARTIDA DE GASTO A LA QUE SE IMPUTA EL IMPORTE</t>
  </si>
  <si>
    <t xml:space="preserve">COSTE TOTAL 
(sin IVA)</t>
  </si>
  <si>
    <t xml:space="preserve">(*) IMPORTE IMPUTADO EN EL PRESUPUESTO</t>
  </si>
  <si>
    <t xml:space="preserve">NOMBRE proveedor</t>
  </si>
  <si>
    <t xml:space="preserve">DESCRIPCIÓN DE LA CONTRATACIÓN/SUBCONTRATACIÓN/INVERSIÓN</t>
  </si>
  <si>
    <t xml:space="preserve">Carpintería estructural (PENDIENTE)</t>
  </si>
  <si>
    <t xml:space="preserve">[PENDIENTE]</t>
  </si>
  <si>
    <t xml:space="preserve">A.4 (LL-3 Domo)</t>
  </si>
  <si>
    <t xml:space="preserve">P2 (jul 2027)</t>
  </si>
  <si>
    <t xml:space="preserve">Personal externo carpintería: precorte madera + prefijación cubierta domo NEB (3 ofertas pendientes)</t>
  </si>
  <si>
    <t xml:space="preserve">A.2 Personal apoyo externo</t>
  </si>
  <si>
    <t xml:space="preserve">….</t>
  </si>
  <si>
    <t xml:space="preserve">Proveedor sistema FV (PENDIENTE)</t>
  </si>
  <si>
    <t xml:space="preserve">A.5 (LL-4)</t>
  </si>
  <si>
    <t xml:space="preserve">P2 (ago–sep 2027)</t>
  </si>
  <si>
    <t xml:space="preserve">Paneles FV bifaciales 5 kW + baterías + cableado + montaje BT certificado (3 ofertas pendientes)</t>
  </si>
  <si>
    <t xml:space="preserve">C.2 Otras inversiones</t>
  </si>
  <si>
    <t xml:space="preserve">IMPORTE TOTAL</t>
  </si>
  <si>
    <t xml:space="preserve">MIEMBRO 2: Fundación COPRODELI — CIF G81984270</t>
  </si>
  <si>
    <t xml:space="preserve">Materiales construcción domo (PENDIENTE)</t>
  </si>
  <si>
    <t xml:space="preserve">Cubierta + aislamiento corcho + hidrófugo + ventanas + cimentación + listones + tornillería para domo NEB (3 ofertas pendientes)</t>
  </si>
  <si>
    <t xml:space="preserve">Nota: los proveedores marcados como [PENDIENTE] deben identificarse al recopilar las 3 ofertas exigidas por el art. 8.8 RD 251/2024 (Anexo VII).</t>
  </si>
  <si>
    <t xml:space="preserve">MIEMBRO 2 — Fundación COPRODELI (NIF: G81984270)</t>
  </si>
  <si>
    <t xml:space="preserve">MIEMBRO: Fundación COPRODELI (NIF: G81984270)</t>
  </si>
</sst>
</file>

<file path=xl/styles.xml><?xml version="1.0" encoding="utf-8"?>
<styleSheet xmlns="http://schemas.openxmlformats.org/spreadsheetml/2006/main">
  <numFmts count="7">
    <numFmt numFmtId="164" formatCode="General"/>
    <numFmt numFmtId="165" formatCode="#,##0.00"/>
    <numFmt numFmtId="166" formatCode="#,##0.00&quot; €&quot;"/>
    <numFmt numFmtId="167" formatCode="0.00"/>
    <numFmt numFmtId="168" formatCode="#,##0.00&quot; €&quot;;[RED]\-#,##0.00&quot; €&quot;"/>
    <numFmt numFmtId="169" formatCode="0"/>
    <numFmt numFmtId="170" formatCode="#,##0"/>
  </numFmts>
  <fonts count="32">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1"/>
      <color theme="1"/>
      <name val="Arial"/>
      <family val="2"/>
      <charset val="1"/>
    </font>
    <font>
      <b val="true"/>
      <sz val="18"/>
      <color rgb="FF44546A"/>
      <name val="Arial"/>
      <family val="2"/>
      <charset val="1"/>
    </font>
    <font>
      <b val="true"/>
      <sz val="13"/>
      <color theme="1"/>
      <name val="Arial"/>
      <family val="2"/>
      <charset val="1"/>
    </font>
    <font>
      <sz val="11"/>
      <color theme="1"/>
      <name val="Arial"/>
      <family val="2"/>
      <charset val="1"/>
    </font>
    <font>
      <b val="true"/>
      <sz val="12"/>
      <color theme="0"/>
      <name val="Arial"/>
      <family val="2"/>
      <charset val="1"/>
    </font>
    <font>
      <sz val="10"/>
      <name val="Calibri"/>
      <family val="2"/>
      <charset val="1"/>
    </font>
    <font>
      <b val="true"/>
      <sz val="12"/>
      <color theme="0"/>
      <name val="Calibri"/>
      <family val="2"/>
      <charset val="1"/>
    </font>
    <font>
      <sz val="11"/>
      <color rgb="FF000000"/>
      <name val="Calibri"/>
      <family val="2"/>
      <charset val="1"/>
    </font>
    <font>
      <i val="true"/>
      <sz val="11"/>
      <color rgb="FF808080"/>
      <name val="Cambria"/>
      <family val="0"/>
      <charset val="1"/>
    </font>
    <font>
      <b val="true"/>
      <sz val="12"/>
      <name val="Calibri"/>
      <family val="2"/>
      <charset val="1"/>
    </font>
    <font>
      <b val="true"/>
      <sz val="11"/>
      <color theme="1"/>
      <name val="Calibri"/>
      <family val="2"/>
      <charset val="1"/>
    </font>
    <font>
      <b val="true"/>
      <i val="true"/>
      <sz val="10"/>
      <color rgb="FFFF0000"/>
      <name val="Calibri"/>
      <family val="2"/>
      <charset val="1"/>
    </font>
    <font>
      <b val="true"/>
      <sz val="10"/>
      <name val="Calibri"/>
      <family val="2"/>
      <charset val="1"/>
    </font>
    <font>
      <b val="true"/>
      <sz val="9"/>
      <name val="Calibri"/>
      <family val="2"/>
      <charset val="1"/>
    </font>
    <font>
      <sz val="9"/>
      <name val="Calibri"/>
      <family val="2"/>
      <charset val="1"/>
    </font>
    <font>
      <b val="true"/>
      <sz val="12"/>
      <color theme="1"/>
      <name val="Calibri"/>
      <family val="2"/>
      <charset val="1"/>
    </font>
    <font>
      <i val="true"/>
      <sz val="11"/>
      <color theme="1"/>
      <name val="Calibri"/>
      <family val="2"/>
      <charset val="1"/>
    </font>
    <font>
      <b val="true"/>
      <u val="single"/>
      <sz val="11"/>
      <color theme="1"/>
      <name val="Calibri"/>
      <family val="2"/>
      <charset val="1"/>
    </font>
    <font>
      <b val="true"/>
      <sz val="9"/>
      <color theme="1"/>
      <name val="Calibri"/>
      <family val="2"/>
      <charset val="1"/>
    </font>
    <font>
      <sz val="9"/>
      <color theme="1"/>
      <name val="Calibri"/>
      <family val="2"/>
      <charset val="1"/>
    </font>
    <font>
      <sz val="10"/>
      <color theme="1"/>
      <name val="Calibri"/>
      <family val="2"/>
      <charset val="1"/>
    </font>
    <font>
      <b val="true"/>
      <sz val="10"/>
      <color theme="1"/>
      <name val="Calibri"/>
      <family val="2"/>
      <charset val="1"/>
    </font>
    <font>
      <sz val="9"/>
      <color theme="4" tint="-0.25"/>
      <name val="Calibri"/>
      <family val="2"/>
      <charset val="1"/>
    </font>
    <font>
      <i val="true"/>
      <sz val="9"/>
      <color rgb="FF606060"/>
      <name val="Cambria"/>
      <family val="0"/>
      <charset val="1"/>
    </font>
    <font>
      <b val="true"/>
      <sz val="11"/>
      <name val="Cambria"/>
      <family val="0"/>
      <charset val="1"/>
    </font>
    <font>
      <sz val="11"/>
      <name val="Calibri"/>
      <family val="2"/>
      <charset val="1"/>
    </font>
    <font>
      <i val="true"/>
      <sz val="11"/>
      <name val="Calibri"/>
      <family val="2"/>
      <charset val="1"/>
    </font>
  </fonts>
  <fills count="15">
    <fill>
      <patternFill patternType="none"/>
    </fill>
    <fill>
      <patternFill patternType="gray125"/>
    </fill>
    <fill>
      <patternFill patternType="solid">
        <fgColor theme="0"/>
        <bgColor rgb="FFFFF2CC"/>
      </patternFill>
    </fill>
    <fill>
      <patternFill patternType="solid">
        <fgColor theme="5" tint="0.7999"/>
        <bgColor rgb="FFFBE4D4"/>
      </patternFill>
    </fill>
    <fill>
      <patternFill patternType="solid">
        <fgColor rgb="FF008080"/>
        <bgColor rgb="FF008080"/>
      </patternFill>
    </fill>
    <fill>
      <patternFill patternType="solid">
        <fgColor theme="2" tint="-0.1"/>
        <bgColor rgb="FFD9D9D9"/>
      </patternFill>
    </fill>
    <fill>
      <patternFill patternType="solid">
        <fgColor theme="9" tint="0.3999"/>
        <bgColor rgb="FFC5E0B4"/>
      </patternFill>
    </fill>
    <fill>
      <patternFill patternType="solid">
        <fgColor theme="7" tint="0.7999"/>
        <bgColor rgb="FFF1EEBB"/>
      </patternFill>
    </fill>
    <fill>
      <patternFill patternType="solid">
        <fgColor rgb="FFFFFF00"/>
        <bgColor rgb="FFFFCC00"/>
      </patternFill>
    </fill>
    <fill>
      <patternFill patternType="solid">
        <fgColor theme="0" tint="-0.15"/>
        <bgColor rgb="FFD0CECE"/>
      </patternFill>
    </fill>
    <fill>
      <patternFill patternType="solid">
        <fgColor theme="7" tint="0.5999"/>
        <bgColor rgb="FFF1EEBB"/>
      </patternFill>
    </fill>
    <fill>
      <patternFill patternType="solid">
        <fgColor rgb="FFFBE4D4"/>
        <bgColor rgb="FFFBE5D6"/>
      </patternFill>
    </fill>
    <fill>
      <patternFill patternType="solid">
        <fgColor theme="9" tint="0.5999"/>
        <bgColor rgb="FFD9D9D9"/>
      </patternFill>
    </fill>
    <fill>
      <patternFill patternType="solid">
        <fgColor theme="7" tint="0.3999"/>
        <bgColor rgb="FFFFE699"/>
      </patternFill>
    </fill>
    <fill>
      <patternFill patternType="solid">
        <fgColor rgb="FFF1EEBB"/>
        <bgColor rgb="FFFFF2CC"/>
      </patternFill>
    </fill>
  </fills>
  <borders count="8">
    <border diagonalUp="false" diagonalDown="false">
      <left/>
      <right/>
      <top/>
      <bottom/>
      <diagonal/>
    </border>
    <border diagonalUp="false" diagonalDown="false">
      <left style="medium"/>
      <right style="medium"/>
      <top style="medium"/>
      <bottom style="medium"/>
      <diagonal/>
    </border>
    <border diagonalUp="false" diagonalDown="false">
      <left style="thin"/>
      <right style="thin"/>
      <top style="thin"/>
      <bottom style="thin"/>
      <diagonal/>
    </border>
    <border diagonalUp="false" diagonalDown="false">
      <left style="thin"/>
      <right/>
      <top style="thin"/>
      <bottom style="thin"/>
      <diagonal/>
    </border>
    <border diagonalUp="false" diagonalDown="false">
      <left style="thin"/>
      <right style="thin"/>
      <top/>
      <bottom style="thin"/>
      <diagonal/>
    </border>
    <border diagonalUp="false" diagonalDown="false">
      <left/>
      <right style="thin"/>
      <top/>
      <bottom style="thin"/>
      <diagonal/>
    </border>
    <border diagonalUp="false" diagonalDown="false">
      <left/>
      <right style="thin"/>
      <top style="thin"/>
      <bottom style="thin"/>
      <diagonal/>
    </border>
    <border diagonalUp="false" diagonalDown="false">
      <left style="thin"/>
      <right style="thin"/>
      <top style="thin"/>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5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false" applyAlignment="true" applyProtection="false">
      <alignment horizontal="left" vertical="center" textRotation="0" wrapText="false" indent="0" shrinkToFit="false"/>
      <protection locked="true" hidden="false"/>
    </xf>
    <xf numFmtId="164" fontId="0" fillId="2" borderId="0" xfId="0" applyFont="false" applyBorder="false" applyAlignment="true" applyProtection="false">
      <alignment horizontal="general" vertical="center"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6" fillId="2" borderId="0" xfId="0" applyFont="true" applyBorder="fals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general" vertical="center" textRotation="0" wrapText="true" indent="0" shrinkToFit="false"/>
      <protection locked="true" hidden="false"/>
    </xf>
    <xf numFmtId="164" fontId="7" fillId="3" borderId="1" xfId="0" applyFont="true" applyBorder="true" applyAlignment="true" applyProtection="false">
      <alignment horizontal="left" vertical="top" textRotation="0" wrapText="true" indent="0" shrinkToFit="false"/>
      <protection locked="true" hidden="false"/>
    </xf>
    <xf numFmtId="164" fontId="5" fillId="2" borderId="0" xfId="0" applyFont="true" applyBorder="false" applyAlignment="true" applyProtection="false">
      <alignment horizontal="center" vertical="center" textRotation="0" wrapText="false" indent="0" shrinkToFit="false"/>
      <protection locked="true" hidden="false"/>
    </xf>
    <xf numFmtId="164" fontId="5" fillId="2" borderId="0" xfId="0" applyFont="true" applyBorder="false" applyAlignment="true" applyProtection="false">
      <alignment horizontal="general" vertical="center" textRotation="0" wrapText="false" indent="0" shrinkToFit="false"/>
      <protection locked="true" hidden="false"/>
    </xf>
    <xf numFmtId="164" fontId="8" fillId="2" borderId="0" xfId="0" applyFont="true" applyBorder="false" applyAlignment="true" applyProtection="false">
      <alignment horizontal="left" vertical="center" textRotation="0" wrapText="true" indent="0" shrinkToFit="false"/>
      <protection locked="true" hidden="false"/>
    </xf>
    <xf numFmtId="164" fontId="9" fillId="4" borderId="0" xfId="0" applyFont="true" applyBorder="true" applyAlignment="true" applyProtection="true">
      <alignment horizontal="center" vertical="center" textRotation="0" wrapText="true" indent="0" shrinkToFit="false"/>
      <protection locked="false" hidden="false"/>
    </xf>
    <xf numFmtId="164" fontId="10" fillId="2" borderId="0" xfId="0" applyFont="true" applyBorder="false" applyAlignment="true" applyProtection="false">
      <alignment horizontal="left" vertical="center" textRotation="0" wrapText="false" indent="1" shrinkToFit="false"/>
      <protection locked="true" hidden="false"/>
    </xf>
    <xf numFmtId="165" fontId="11" fillId="4" borderId="2" xfId="0" applyFont="true" applyBorder="true" applyAlignment="true" applyProtection="false">
      <alignment horizontal="left" vertical="center" textRotation="0" wrapText="true" indent="1" shrinkToFit="false"/>
      <protection locked="true" hidden="false"/>
    </xf>
    <xf numFmtId="164" fontId="12" fillId="5" borderId="2" xfId="0" applyFont="true" applyBorder="true" applyAlignment="true" applyProtection="false">
      <alignment horizontal="center" vertical="center" textRotation="0" wrapText="true" indent="0" shrinkToFit="false"/>
      <protection locked="true" hidden="false"/>
    </xf>
    <xf numFmtId="164" fontId="13" fillId="6" borderId="0" xfId="0" applyFont="true" applyBorder="false" applyAlignment="true" applyProtection="true">
      <alignment horizontal="general" vertical="center" textRotation="0" wrapText="false" indent="0" shrinkToFit="false"/>
      <protection locked="false" hidden="false"/>
    </xf>
    <xf numFmtId="164" fontId="14" fillId="6" borderId="0" xfId="0" applyFont="true" applyBorder="false" applyAlignment="true" applyProtection="true">
      <alignment horizontal="general" vertical="center" textRotation="0" wrapText="false" indent="0" shrinkToFit="false"/>
      <protection locked="false" hidden="false"/>
    </xf>
    <xf numFmtId="164" fontId="14" fillId="6" borderId="0" xfId="0" applyFont="true" applyBorder="true" applyAlignment="true" applyProtection="true">
      <alignment horizontal="left" vertical="center" textRotation="0" wrapText="false" indent="0" shrinkToFit="false"/>
      <protection locked="false" hidden="false"/>
    </xf>
    <xf numFmtId="164" fontId="15" fillId="7" borderId="2" xfId="0" applyFont="true" applyBorder="true" applyAlignment="true" applyProtection="false">
      <alignment horizontal="center" vertical="center" textRotation="0" wrapText="false" indent="0" shrinkToFit="false"/>
      <protection locked="true" hidden="false"/>
    </xf>
    <xf numFmtId="164" fontId="15" fillId="7" borderId="2" xfId="0" applyFont="true" applyBorder="true" applyAlignment="true" applyProtection="false">
      <alignment horizontal="center" vertical="center" textRotation="0" wrapText="true" indent="0" shrinkToFit="false"/>
      <protection locked="true" hidden="false"/>
    </xf>
    <xf numFmtId="164" fontId="0" fillId="0" borderId="2" xfId="0" applyFont="false" applyBorder="true" applyAlignment="true" applyProtection="false">
      <alignment horizontal="general" vertical="bottom" textRotation="0" wrapText="false" indent="0" shrinkToFit="false"/>
      <protection locked="true" hidden="false"/>
    </xf>
    <xf numFmtId="164" fontId="0" fillId="8" borderId="2" xfId="0" applyFont="true" applyBorder="tru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1" shrinkToFit="false"/>
      <protection locked="true" hidden="false"/>
    </xf>
    <xf numFmtId="164" fontId="9" fillId="4" borderId="0" xfId="0" applyFont="true" applyBorder="true" applyAlignment="true" applyProtection="true">
      <alignment horizontal="left" vertical="center" textRotation="0" wrapText="true" indent="0" shrinkToFit="false"/>
      <protection locked="false" hidden="false"/>
    </xf>
    <xf numFmtId="164" fontId="9" fillId="2" borderId="0" xfId="0" applyFont="true" applyBorder="false" applyAlignment="true" applyProtection="true">
      <alignment horizontal="left" vertical="center" textRotation="0" wrapText="true" indent="0" shrinkToFit="false"/>
      <protection locked="false" hidden="false"/>
    </xf>
    <xf numFmtId="165" fontId="11" fillId="4" borderId="3" xfId="0" applyFont="true" applyBorder="true" applyAlignment="true" applyProtection="false">
      <alignment horizontal="left" vertical="center" textRotation="0" wrapText="true" indent="1" shrinkToFit="false"/>
      <protection locked="true" hidden="false"/>
    </xf>
    <xf numFmtId="164" fontId="16"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center" vertical="center" textRotation="0" wrapText="false" indent="0" shrinkToFit="false"/>
      <protection locked="true" hidden="false"/>
    </xf>
    <xf numFmtId="164" fontId="17" fillId="9" borderId="2" xfId="0" applyFont="true" applyBorder="true" applyAlignment="true" applyProtection="false">
      <alignment horizontal="center" vertical="center" textRotation="0" wrapText="true" indent="0" shrinkToFit="false"/>
      <protection locked="true" hidden="false"/>
    </xf>
    <xf numFmtId="164" fontId="18" fillId="9" borderId="2" xfId="0" applyFont="true" applyBorder="true" applyAlignment="true" applyProtection="false">
      <alignment horizontal="center" vertical="center" textRotation="0" wrapText="true" indent="0" shrinkToFit="false"/>
      <protection locked="true" hidden="false"/>
    </xf>
    <xf numFmtId="164" fontId="10" fillId="2" borderId="0" xfId="0" applyFont="true" applyBorder="false" applyAlignment="true" applyProtection="false">
      <alignment horizontal="center" vertical="center" textRotation="0" wrapText="false" indent="0" shrinkToFit="false"/>
      <protection locked="true" hidden="false"/>
    </xf>
    <xf numFmtId="164" fontId="19" fillId="0" borderId="0" xfId="0" applyFont="true" applyBorder="false" applyAlignment="true" applyProtection="false">
      <alignment horizontal="center" vertical="center" textRotation="0" wrapText="false" indent="0" shrinkToFit="false"/>
      <protection locked="true" hidden="false"/>
    </xf>
    <xf numFmtId="164" fontId="19" fillId="9" borderId="2" xfId="0" applyFont="true" applyBorder="true" applyAlignment="true" applyProtection="false">
      <alignment horizontal="center" vertical="center" textRotation="0" wrapText="true" indent="0" shrinkToFit="false"/>
      <protection locked="true" hidden="false"/>
    </xf>
    <xf numFmtId="164" fontId="19" fillId="2" borderId="0" xfId="0" applyFont="true" applyBorder="fals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true" indent="1" shrinkToFit="false"/>
      <protection locked="true" hidden="false"/>
    </xf>
    <xf numFmtId="166" fontId="10" fillId="0" borderId="4" xfId="0" applyFont="true" applyBorder="true" applyAlignment="true" applyProtection="false">
      <alignment horizontal="center" vertical="center" textRotation="0" wrapText="true" indent="0" shrinkToFit="false"/>
      <protection locked="true" hidden="false"/>
    </xf>
    <xf numFmtId="166" fontId="10" fillId="0" borderId="4" xfId="0" applyFont="true" applyBorder="true" applyAlignment="true" applyProtection="false">
      <alignment horizontal="left" vertical="center" textRotation="0" wrapText="true" indent="1" shrinkToFit="false"/>
      <protection locked="true" hidden="false"/>
    </xf>
    <xf numFmtId="166" fontId="10" fillId="10" borderId="4" xfId="0" applyFont="true" applyBorder="true" applyAlignment="true" applyProtection="false">
      <alignment horizontal="center" vertical="center" textRotation="0" wrapText="false" indent="0" shrinkToFit="false"/>
      <protection locked="true" hidden="false"/>
    </xf>
    <xf numFmtId="166" fontId="17" fillId="10" borderId="2" xfId="0" applyFont="true" applyBorder="true" applyAlignment="true" applyProtection="false">
      <alignment horizontal="center" vertical="center" textRotation="0" wrapText="false" indent="0" shrinkToFit="false"/>
      <protection locked="true" hidden="false"/>
    </xf>
    <xf numFmtId="164" fontId="10" fillId="0" borderId="2" xfId="0" applyFont="true" applyBorder="true" applyAlignment="true" applyProtection="false">
      <alignment horizontal="left" vertical="center" textRotation="0" wrapText="false" indent="1" shrinkToFit="false"/>
      <protection locked="true" hidden="false"/>
    </xf>
    <xf numFmtId="166" fontId="10" fillId="0" borderId="5" xfId="0" applyFont="true" applyBorder="true" applyAlignment="true" applyProtection="false">
      <alignment horizontal="center" vertical="center" textRotation="0" wrapText="true" indent="0" shrinkToFit="false"/>
      <protection locked="true" hidden="false"/>
    </xf>
    <xf numFmtId="166" fontId="10" fillId="0" borderId="6" xfId="0" applyFont="true" applyBorder="true" applyAlignment="true" applyProtection="false">
      <alignment horizontal="left" vertical="center" textRotation="0" wrapText="true" indent="1" shrinkToFit="false"/>
      <protection locked="true" hidden="false"/>
    </xf>
    <xf numFmtId="166" fontId="10" fillId="0" borderId="2" xfId="0" applyFont="true" applyBorder="true" applyAlignment="true" applyProtection="false">
      <alignment horizontal="left" vertical="center" textRotation="0" wrapText="true" indent="1" shrinkToFit="false"/>
      <protection locked="true" hidden="false"/>
    </xf>
    <xf numFmtId="164" fontId="10" fillId="11" borderId="2" xfId="0" applyFont="true" applyBorder="true" applyAlignment="true" applyProtection="false">
      <alignment horizontal="left" vertical="center" textRotation="0" wrapText="true" indent="1" shrinkToFit="false"/>
      <protection locked="true" hidden="false"/>
    </xf>
    <xf numFmtId="166" fontId="10" fillId="11" borderId="2" xfId="0" applyFont="true" applyBorder="true" applyAlignment="true" applyProtection="false">
      <alignment horizontal="left" vertical="center" textRotation="0" wrapText="true" indent="1" shrinkToFit="false"/>
      <protection locked="true" hidden="false"/>
    </xf>
    <xf numFmtId="166" fontId="10" fillId="11" borderId="2" xfId="0" applyFont="true" applyBorder="true" applyAlignment="true" applyProtection="false">
      <alignment horizontal="center" vertical="center" textRotation="0" wrapText="true" indent="0" shrinkToFit="false"/>
      <protection locked="true" hidden="false"/>
    </xf>
    <xf numFmtId="164" fontId="17" fillId="0" borderId="2" xfId="0" applyFont="true" applyBorder="true" applyAlignment="true" applyProtection="false">
      <alignment horizontal="left" vertical="center" textRotation="0" wrapText="true" indent="1" shrinkToFit="false"/>
      <protection locked="true" hidden="false"/>
    </xf>
    <xf numFmtId="166" fontId="17" fillId="0" borderId="2"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true" applyAlignment="true" applyProtection="false">
      <alignment horizontal="left" vertical="center" textRotation="0" wrapText="true" indent="1" shrinkToFit="false"/>
      <protection locked="true" hidden="false"/>
    </xf>
    <xf numFmtId="166" fontId="17" fillId="0" borderId="0" xfId="0" applyFont="true" applyBorder="false" applyAlignment="true" applyProtection="false">
      <alignment horizontal="center" vertical="center" textRotation="0" wrapText="false" indent="0" shrinkToFit="false"/>
      <protection locked="true" hidden="false"/>
    </xf>
    <xf numFmtId="166" fontId="17" fillId="10" borderId="0" xfId="0" applyFont="true" applyBorder="false" applyAlignment="true" applyProtection="false">
      <alignment horizontal="center" vertical="center" textRotation="0" wrapText="false" indent="0" shrinkToFit="false"/>
      <protection locked="true" hidden="false"/>
    </xf>
    <xf numFmtId="164" fontId="17" fillId="9" borderId="2" xfId="0" applyFont="true" applyBorder="true" applyAlignment="true" applyProtection="false">
      <alignment horizontal="center" vertical="center" textRotation="0" wrapText="false" indent="0" shrinkToFit="false"/>
      <protection locked="true" hidden="false"/>
    </xf>
    <xf numFmtId="164" fontId="10" fillId="2" borderId="0" xfId="0" applyFont="true" applyBorder="false" applyAlignment="true" applyProtection="false">
      <alignment horizontal="left" vertical="center" textRotation="0" wrapText="true" indent="1" shrinkToFit="false"/>
      <protection locked="true" hidden="false"/>
    </xf>
    <xf numFmtId="164" fontId="17" fillId="2" borderId="0" xfId="0" applyFont="true" applyBorder="false" applyAlignment="true" applyProtection="false">
      <alignment horizontal="left" vertical="center" textRotation="0" wrapText="false" indent="1" shrinkToFit="false"/>
      <protection locked="true" hidden="false"/>
    </xf>
    <xf numFmtId="165" fontId="10" fillId="2" borderId="0" xfId="0" applyFont="true" applyBorder="false" applyAlignment="true" applyProtection="false">
      <alignment horizontal="left" vertical="center" textRotation="0" wrapText="false" indent="1" shrinkToFit="false"/>
      <protection locked="true" hidden="false"/>
    </xf>
    <xf numFmtId="166" fontId="10" fillId="11" borderId="7" xfId="0" applyFont="true" applyBorder="true" applyAlignment="true" applyProtection="false">
      <alignment horizontal="center" vertical="center" textRotation="0" wrapText="true" indent="0" shrinkToFit="false"/>
      <protection locked="true" hidden="false"/>
    </xf>
    <xf numFmtId="166" fontId="17" fillId="3" borderId="2"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false" applyAlignment="tru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5" fontId="11" fillId="4" borderId="2" xfId="0" applyFont="true" applyBorder="true" applyAlignment="true" applyProtection="false">
      <alignment horizontal="left" vertical="center" textRotation="0" wrapText="true" indent="0" shrinkToFit="false"/>
      <protection locked="true" hidden="false"/>
    </xf>
    <xf numFmtId="164" fontId="20" fillId="12" borderId="0" xfId="0" applyFont="true" applyBorder="true" applyAlignment="true" applyProtection="true">
      <alignment horizontal="left" vertical="center" textRotation="0" wrapText="true" indent="0" shrinkToFit="false"/>
      <protection locked="false" hidden="false"/>
    </xf>
    <xf numFmtId="164" fontId="15" fillId="2"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center" vertical="bottom" textRotation="0" wrapText="false" indent="0" shrinkToFit="false"/>
      <protection locked="true" hidden="false"/>
    </xf>
    <xf numFmtId="164" fontId="21" fillId="2" borderId="0" xfId="0" applyFont="true" applyBorder="false" applyAlignment="true" applyProtection="false">
      <alignment horizontal="general" vertical="bottom" textRotation="0" wrapText="false" indent="0" shrinkToFit="false"/>
      <protection locked="true" hidden="false"/>
    </xf>
    <xf numFmtId="164" fontId="22" fillId="10" borderId="0" xfId="0" applyFont="true" applyBorder="false" applyAlignment="true" applyProtection="false">
      <alignment horizontal="center" vertical="center" textRotation="0" wrapText="false" indent="0" shrinkToFit="false"/>
      <protection locked="true" hidden="false"/>
    </xf>
    <xf numFmtId="164" fontId="19" fillId="13" borderId="2" xfId="0" applyFont="true" applyBorder="true" applyAlignment="true" applyProtection="false">
      <alignment horizontal="center" vertical="center" textRotation="0" wrapText="true" indent="0" shrinkToFit="false"/>
      <protection locked="true" hidden="false"/>
    </xf>
    <xf numFmtId="164" fontId="0" fillId="0" borderId="0" xfId="0" applyFont="false" applyBorder="false" applyAlignment="true" applyProtection="false">
      <alignment horizontal="center" vertical="center" textRotation="0" wrapText="true" indent="0" shrinkToFit="false"/>
      <protection locked="true" hidden="false"/>
    </xf>
    <xf numFmtId="164" fontId="15" fillId="2" borderId="0" xfId="0" applyFont="true" applyBorder="false" applyAlignment="true" applyProtection="false">
      <alignment horizontal="center" vertical="center" textRotation="0" wrapText="false" indent="0" shrinkToFit="false"/>
      <protection locked="true" hidden="false"/>
    </xf>
    <xf numFmtId="164" fontId="23" fillId="9" borderId="2" xfId="0" applyFont="true" applyBorder="true" applyAlignment="true" applyProtection="false">
      <alignment horizontal="center" vertical="center" textRotation="0" wrapText="true" indent="0" shrinkToFit="false"/>
      <protection locked="true" hidden="false"/>
    </xf>
    <xf numFmtId="164" fontId="23" fillId="2" borderId="0" xfId="0" applyFont="true" applyBorder="false" applyAlignment="true" applyProtection="false">
      <alignment horizontal="general" vertical="center" textRotation="0" wrapText="true" indent="0" shrinkToFit="false"/>
      <protection locked="true" hidden="false"/>
    </xf>
    <xf numFmtId="164" fontId="24" fillId="0" borderId="2" xfId="0" applyFont="true" applyBorder="true" applyAlignment="true" applyProtection="false">
      <alignment horizontal="center" vertical="center" textRotation="0" wrapText="true" indent="0" shrinkToFit="false"/>
      <protection locked="true" hidden="false"/>
    </xf>
    <xf numFmtId="165" fontId="24" fillId="0" borderId="2" xfId="0" applyFont="true" applyBorder="true" applyAlignment="true" applyProtection="false">
      <alignment horizontal="center" vertical="center" textRotation="0" wrapText="true" indent="0" shrinkToFit="false"/>
      <protection locked="true" hidden="false"/>
    </xf>
    <xf numFmtId="164" fontId="24" fillId="0" borderId="2" xfId="0" applyFont="true" applyBorder="true" applyAlignment="true" applyProtection="false">
      <alignment horizontal="general" vertical="center" textRotation="0" wrapText="true" indent="0" shrinkToFit="false"/>
      <protection locked="true" hidden="false"/>
    </xf>
    <xf numFmtId="167" fontId="0" fillId="2" borderId="0" xfId="0" applyFont="false" applyBorder="fals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center" vertical="center" textRotation="0" wrapText="true" indent="0" shrinkToFit="false"/>
      <protection locked="true" hidden="false"/>
    </xf>
    <xf numFmtId="168" fontId="25" fillId="0" borderId="2" xfId="0" applyFont="true" applyBorder="true" applyAlignment="true" applyProtection="false">
      <alignment horizontal="center" vertical="center" textRotation="0" wrapText="true" indent="0" shrinkToFit="false"/>
      <protection locked="true" hidden="false"/>
    </xf>
    <xf numFmtId="168" fontId="0" fillId="2" borderId="0" xfId="0" applyFont="false" applyBorder="false" applyAlignment="true" applyProtection="false">
      <alignment horizontal="center" vertical="bottom" textRotation="0" wrapText="false" indent="0" shrinkToFit="false"/>
      <protection locked="true" hidden="false"/>
    </xf>
    <xf numFmtId="164" fontId="23" fillId="0" borderId="2" xfId="0" applyFont="true" applyBorder="true" applyAlignment="true" applyProtection="false">
      <alignment horizontal="center" vertical="center" textRotation="0" wrapText="true" indent="0" shrinkToFit="false"/>
      <protection locked="true" hidden="false"/>
    </xf>
    <xf numFmtId="168" fontId="26" fillId="0" borderId="2"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false" applyAlignment="true" applyProtection="false">
      <alignment horizontal="left" vertical="center" textRotation="0" wrapText="false" indent="0" shrinkToFit="false"/>
      <protection locked="true" hidden="false"/>
    </xf>
    <xf numFmtId="164" fontId="24" fillId="2" borderId="2" xfId="0" applyFont="true" applyBorder="true" applyAlignment="true" applyProtection="false">
      <alignment horizontal="center" vertical="center" textRotation="0" wrapText="true" indent="0" shrinkToFit="false"/>
      <protection locked="true" hidden="false"/>
    </xf>
    <xf numFmtId="164" fontId="0" fillId="2" borderId="2" xfId="0" applyFont="false" applyBorder="true" applyAlignment="true" applyProtection="false">
      <alignment horizontal="center" vertical="bottom" textRotation="0" wrapText="false" indent="0" shrinkToFit="false"/>
      <protection locked="true" hidden="false"/>
    </xf>
    <xf numFmtId="169" fontId="24" fillId="2" borderId="2" xfId="0" applyFont="true" applyBorder="true" applyAlignment="true" applyProtection="false">
      <alignment horizontal="general" vertical="center" textRotation="0" wrapText="true" indent="0" shrinkToFit="false"/>
      <protection locked="true" hidden="false"/>
    </xf>
    <xf numFmtId="164" fontId="24" fillId="2" borderId="2" xfId="0" applyFont="true" applyBorder="true" applyAlignment="true" applyProtection="false">
      <alignment horizontal="general" vertical="center" textRotation="0" wrapText="tru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9" fontId="24" fillId="2" borderId="0" xfId="0" applyFont="true" applyBorder="false" applyAlignment="true" applyProtection="false">
      <alignment horizontal="center" vertical="center" textRotation="0" wrapText="true" indent="0" shrinkToFit="false"/>
      <protection locked="true" hidden="false"/>
    </xf>
    <xf numFmtId="164" fontId="23" fillId="2" borderId="2" xfId="0" applyFont="true" applyBorder="true" applyAlignment="true" applyProtection="false">
      <alignment horizontal="center" vertical="center" textRotation="0" wrapText="true" indent="0" shrinkToFit="false"/>
      <protection locked="true" hidden="false"/>
    </xf>
    <xf numFmtId="164" fontId="13" fillId="0" borderId="2" xfId="0" applyFont="true" applyBorder="true" applyAlignment="true" applyProtection="false">
      <alignment horizontal="center" vertical="center" textRotation="0" wrapText="true" indent="0" shrinkToFit="false"/>
      <protection locked="true" hidden="false"/>
    </xf>
    <xf numFmtId="169" fontId="24" fillId="0" borderId="2"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false" applyAlignment="true" applyProtection="false">
      <alignment horizontal="center" vertical="center" textRotation="0" wrapText="true" indent="0" shrinkToFit="false"/>
      <protection locked="true" hidden="false"/>
    </xf>
    <xf numFmtId="169" fontId="23" fillId="0" borderId="2" xfId="0" applyFont="true" applyBorder="true" applyAlignment="true" applyProtection="false">
      <alignment horizontal="center" vertical="center" textRotation="0" wrapText="true" indent="0" shrinkToFit="false"/>
      <protection locked="true" hidden="false"/>
    </xf>
    <xf numFmtId="169" fontId="23" fillId="0" borderId="0" xfId="0" applyFont="true" applyBorder="false" applyAlignment="true" applyProtection="false">
      <alignment horizontal="center" vertical="center" textRotation="0" wrapText="true" indent="0" shrinkToFit="false"/>
      <protection locked="true" hidden="false"/>
    </xf>
    <xf numFmtId="169" fontId="23" fillId="2" borderId="0" xfId="0" applyFont="true" applyBorder="false" applyAlignment="true" applyProtection="false">
      <alignment horizontal="center" vertical="center" textRotation="0" wrapText="true" indent="0" shrinkToFit="false"/>
      <protection locked="true" hidden="false"/>
    </xf>
    <xf numFmtId="169" fontId="24" fillId="2" borderId="0" xfId="0" applyFont="true" applyBorder="false" applyAlignment="true" applyProtection="false">
      <alignment horizontal="general" vertical="center" textRotation="0" wrapText="true" indent="0" shrinkToFit="false"/>
      <protection locked="true" hidden="false"/>
    </xf>
    <xf numFmtId="169" fontId="24" fillId="0" borderId="0" xfId="0" applyFont="true" applyBorder="false" applyAlignment="true" applyProtection="false">
      <alignment horizontal="center" vertical="center" textRotation="0" wrapText="true" indent="0" shrinkToFit="false"/>
      <protection locked="true" hidden="false"/>
    </xf>
    <xf numFmtId="168" fontId="23" fillId="2" borderId="0" xfId="0" applyFont="true" applyBorder="false" applyAlignment="true" applyProtection="false">
      <alignment horizontal="center" vertical="center" textRotation="0" wrapText="true" indent="0" shrinkToFit="false"/>
      <protection locked="true" hidden="false"/>
    </xf>
    <xf numFmtId="164" fontId="0" fillId="2"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0" fillId="0" borderId="0" xfId="0" applyFont="false" applyBorder="false" applyAlignment="true" applyProtection="false">
      <alignment horizontal="center" vertical="bottom" textRotation="0" wrapText="true" indent="0" shrinkToFit="false"/>
      <protection locked="true" hidden="false"/>
    </xf>
    <xf numFmtId="164" fontId="0" fillId="2" borderId="0" xfId="0" applyFont="false" applyBorder="false" applyAlignment="true" applyProtection="false">
      <alignment horizontal="center" vertical="bottom" textRotation="0" wrapText="true" indent="0" shrinkToFit="false"/>
      <protection locked="true" hidden="false"/>
    </xf>
    <xf numFmtId="164" fontId="10" fillId="0" borderId="0" xfId="0" applyFont="true" applyBorder="false" applyAlignment="true" applyProtection="false">
      <alignment horizontal="left" vertical="center" textRotation="0" wrapText="true" indent="0" shrinkToFit="false"/>
      <protection locked="true" hidden="false"/>
    </xf>
    <xf numFmtId="164" fontId="10" fillId="2" borderId="0" xfId="0" applyFont="true" applyBorder="false" applyAlignment="true" applyProtection="false">
      <alignment horizontal="left" vertical="center" textRotation="0" wrapText="true" indent="0" shrinkToFit="false"/>
      <protection locked="true" hidden="false"/>
    </xf>
    <xf numFmtId="164" fontId="20" fillId="2" borderId="0" xfId="0" applyFont="true" applyBorder="false" applyAlignment="true" applyProtection="true">
      <alignment horizontal="left" vertical="center" textRotation="0" wrapText="true" indent="0" shrinkToFit="false"/>
      <protection locked="false" hidden="false"/>
    </xf>
    <xf numFmtId="164" fontId="24" fillId="0" borderId="7" xfId="0" applyFont="true" applyBorder="true" applyAlignment="true" applyProtection="false">
      <alignment horizontal="center" vertical="center" textRotation="0" wrapText="true" indent="0" shrinkToFit="false"/>
      <protection locked="true" hidden="false"/>
    </xf>
    <xf numFmtId="164" fontId="27" fillId="0" borderId="2" xfId="0" applyFont="true" applyBorder="true" applyAlignment="true" applyProtection="false">
      <alignment horizontal="center" vertical="center" textRotation="0" wrapText="true" indent="0" shrinkToFit="false"/>
      <protection locked="true" hidden="false"/>
    </xf>
    <xf numFmtId="164" fontId="19" fillId="0" borderId="2"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true" applyProtection="false">
      <alignment horizontal="center" vertical="center" textRotation="0" wrapText="true" indent="0" shrinkToFit="false"/>
      <protection locked="true" hidden="false"/>
    </xf>
    <xf numFmtId="164" fontId="28" fillId="0" borderId="0" xfId="0" applyFont="true" applyBorder="false" applyAlignment="true" applyProtection="false">
      <alignment horizontal="center" vertical="center" textRotation="0" wrapText="true" indent="0" shrinkToFit="false"/>
      <protection locked="true" hidden="false"/>
    </xf>
    <xf numFmtId="164" fontId="22" fillId="10" borderId="0" xfId="0" applyFont="true" applyBorder="false" applyAlignment="true" applyProtection="false">
      <alignment horizontal="center" vertical="center" textRotation="0" wrapText="true" indent="0" shrinkToFit="false"/>
      <protection locked="true" hidden="false"/>
    </xf>
    <xf numFmtId="164" fontId="22" fillId="10" borderId="0" xfId="0" applyFont="true" applyBorder="false" applyAlignment="true" applyProtection="false">
      <alignment horizontal="general" vertical="bottom" textRotation="0" wrapText="true" indent="0" shrinkToFit="false"/>
      <protection locked="true" hidden="false"/>
    </xf>
    <xf numFmtId="164" fontId="15" fillId="2" borderId="0" xfId="0" applyFont="true" applyBorder="false" applyAlignment="true" applyProtection="false">
      <alignment horizontal="general" vertical="bottom" textRotation="0" wrapText="true" indent="0" shrinkToFit="false"/>
      <protection locked="true" hidden="false"/>
    </xf>
    <xf numFmtId="164" fontId="22" fillId="2" borderId="0" xfId="0" applyFont="true" applyBorder="false" applyAlignment="true" applyProtection="false">
      <alignment horizontal="general" vertical="bottom" textRotation="0" wrapText="true" indent="0" shrinkToFit="false"/>
      <protection locked="true" hidden="false"/>
    </xf>
    <xf numFmtId="164" fontId="15" fillId="2" borderId="0" xfId="0" applyFont="true" applyBorder="true" applyAlignment="true" applyProtection="false">
      <alignment horizontal="center" vertical="bottom" textRotation="0" wrapText="true" indent="0" shrinkToFit="false"/>
      <protection locked="true" hidden="false"/>
    </xf>
    <xf numFmtId="164" fontId="15" fillId="2" borderId="0" xfId="0" applyFont="true" applyBorder="true" applyAlignment="true" applyProtection="false">
      <alignment horizontal="center" vertical="center" textRotation="0" wrapText="true" indent="0" shrinkToFit="false"/>
      <protection locked="true" hidden="false"/>
    </xf>
    <xf numFmtId="164" fontId="23" fillId="9" borderId="7" xfId="0" applyFont="true" applyBorder="true" applyAlignment="true" applyProtection="false">
      <alignment horizontal="center" vertical="center" textRotation="0" wrapText="true" indent="0" shrinkToFit="false"/>
      <protection locked="true" hidden="false"/>
    </xf>
    <xf numFmtId="164" fontId="27" fillId="0" borderId="2" xfId="0" applyFont="true" applyBorder="true" applyAlignment="true" applyProtection="false">
      <alignment horizontal="general" vertical="center" textRotation="0" wrapText="true" indent="0" shrinkToFit="false"/>
      <protection locked="true" hidden="false"/>
    </xf>
    <xf numFmtId="170" fontId="27" fillId="0" borderId="2" xfId="0" applyFont="true" applyBorder="true" applyAlignment="true" applyProtection="false">
      <alignment horizontal="center" vertical="center" textRotation="0" wrapText="true" indent="0" shrinkToFit="false"/>
      <protection locked="true" hidden="false"/>
    </xf>
    <xf numFmtId="166" fontId="27" fillId="0" borderId="3" xfId="0" applyFont="true" applyBorder="true" applyAlignment="true" applyProtection="false">
      <alignment horizontal="center" vertical="center" textRotation="0" wrapText="true" indent="0" shrinkToFit="false"/>
      <protection locked="true" hidden="false"/>
    </xf>
    <xf numFmtId="166" fontId="27" fillId="0" borderId="2" xfId="0" applyFont="true" applyBorder="true" applyAlignment="true" applyProtection="false">
      <alignment horizontal="general" vertical="center" textRotation="0" wrapText="true" indent="0" shrinkToFit="false"/>
      <protection locked="true" hidden="false"/>
    </xf>
    <xf numFmtId="170" fontId="24" fillId="0" borderId="2" xfId="0" applyFont="true" applyBorder="true" applyAlignment="true" applyProtection="false">
      <alignment horizontal="center" vertical="center" textRotation="0" wrapText="true" indent="0" shrinkToFit="false"/>
      <protection locked="true" hidden="false"/>
    </xf>
    <xf numFmtId="166" fontId="24" fillId="2" borderId="2" xfId="0" applyFont="true" applyBorder="true" applyAlignment="true" applyProtection="false">
      <alignment horizontal="center" vertical="center" textRotation="0" wrapText="true" indent="0" shrinkToFit="false"/>
      <protection locked="true" hidden="false"/>
    </xf>
    <xf numFmtId="166" fontId="24" fillId="0" borderId="2" xfId="0" applyFont="true" applyBorder="true" applyAlignment="true" applyProtection="false">
      <alignment horizontal="center" vertical="center" textRotation="0" wrapText="true" indent="0" shrinkToFit="false"/>
      <protection locked="true" hidden="false"/>
    </xf>
    <xf numFmtId="166" fontId="27" fillId="0" borderId="2" xfId="0" applyFont="true" applyBorder="true" applyAlignment="true" applyProtection="false">
      <alignment horizontal="center" vertical="center" textRotation="0" wrapText="true" indent="0" shrinkToFit="false"/>
      <protection locked="true" hidden="false"/>
    </xf>
    <xf numFmtId="166" fontId="27" fillId="0" borderId="4" xfId="0" applyFont="true" applyBorder="true" applyAlignment="true" applyProtection="false">
      <alignment horizontal="center" vertical="center" textRotation="0" wrapText="true" indent="0" shrinkToFit="false"/>
      <protection locked="true" hidden="false"/>
    </xf>
    <xf numFmtId="166" fontId="24" fillId="0" borderId="2" xfId="0" applyFont="true" applyBorder="true" applyAlignment="true" applyProtection="false">
      <alignment horizontal="general" vertical="center" textRotation="0" wrapText="true" indent="0" shrinkToFit="false"/>
      <protection locked="true" hidden="false"/>
    </xf>
    <xf numFmtId="166" fontId="25" fillId="0" borderId="2" xfId="0" applyFont="true" applyBorder="true" applyAlignment="true" applyProtection="false">
      <alignment horizontal="center" vertical="center" textRotation="0" wrapText="true" indent="0" shrinkToFit="false"/>
      <protection locked="true" hidden="false"/>
    </xf>
    <xf numFmtId="164" fontId="27" fillId="0" borderId="0" xfId="0" applyFont="true" applyBorder="false" applyAlignment="true" applyProtection="false">
      <alignment horizontal="general" vertical="center" textRotation="0" wrapText="true" indent="0" shrinkToFit="false"/>
      <protection locked="true" hidden="false"/>
    </xf>
    <xf numFmtId="170" fontId="27" fillId="0" borderId="0" xfId="0" applyFont="true" applyBorder="false" applyAlignment="true" applyProtection="false">
      <alignment horizontal="center" vertical="center" textRotation="0" wrapText="true" indent="0" shrinkToFit="false"/>
      <protection locked="true" hidden="false"/>
    </xf>
    <xf numFmtId="166" fontId="27" fillId="0" borderId="0" xfId="0" applyFont="true" applyBorder="false" applyAlignment="true" applyProtection="false">
      <alignment horizontal="center" vertical="center" textRotation="0" wrapText="true" indent="0" shrinkToFit="false"/>
      <protection locked="true" hidden="false"/>
    </xf>
    <xf numFmtId="170" fontId="24" fillId="0" borderId="0" xfId="0" applyFont="true" applyBorder="false" applyAlignment="true" applyProtection="false">
      <alignment horizontal="center" vertical="center" textRotation="0" wrapText="true" indent="0" shrinkToFit="false"/>
      <protection locked="true" hidden="false"/>
    </xf>
    <xf numFmtId="166" fontId="24" fillId="2" borderId="0" xfId="0" applyFont="true" applyBorder="false" applyAlignment="true" applyProtection="false">
      <alignment horizontal="center" vertical="center" textRotation="0" wrapText="true" indent="0" shrinkToFit="false"/>
      <protection locked="true" hidden="false"/>
    </xf>
    <xf numFmtId="166" fontId="24" fillId="0" borderId="0" xfId="0" applyFont="true" applyBorder="false" applyAlignment="true" applyProtection="false">
      <alignment horizontal="center" vertical="center" textRotation="0" wrapText="true" indent="0" shrinkToFit="false"/>
      <protection locked="true" hidden="false"/>
    </xf>
    <xf numFmtId="164" fontId="20" fillId="12" borderId="0" xfId="0" applyFont="true" applyBorder="false" applyAlignment="true" applyProtection="true">
      <alignment horizontal="left" vertical="center" textRotation="0" wrapText="true" indent="0" shrinkToFit="false"/>
      <protection locked="false" hidden="false"/>
    </xf>
    <xf numFmtId="164" fontId="29" fillId="0" borderId="0" xfId="0" applyFont="true" applyBorder="false" applyAlignment="true" applyProtection="false">
      <alignment horizontal="general" vertical="bottom" textRotation="0" wrapText="false" indent="0" shrinkToFit="false"/>
      <protection locked="true" hidden="false"/>
    </xf>
    <xf numFmtId="164" fontId="0" fillId="2" borderId="0" xfId="0" applyFont="false" applyBorder="false" applyAlignment="true" applyProtection="false">
      <alignment horizontal="left" vertical="bottom" textRotation="0" wrapText="true" indent="0" shrinkToFit="false"/>
      <protection locked="true" hidden="false"/>
    </xf>
    <xf numFmtId="164" fontId="11" fillId="4" borderId="0" xfId="0" applyFont="true" applyBorder="true" applyAlignment="true" applyProtection="true">
      <alignment horizontal="center" vertical="center" textRotation="0" wrapText="true" indent="0" shrinkToFit="false"/>
      <protection locked="false" hidden="false"/>
    </xf>
    <xf numFmtId="164" fontId="30" fillId="2" borderId="0" xfId="0" applyFont="true" applyBorder="false" applyAlignment="true" applyProtection="false">
      <alignment horizontal="left" vertical="center" textRotation="0" wrapText="true" indent="0" shrinkToFit="false"/>
      <protection locked="true" hidden="false"/>
    </xf>
    <xf numFmtId="164" fontId="30" fillId="0" borderId="0" xfId="0" applyFont="true" applyBorder="false" applyAlignment="true" applyProtection="false">
      <alignment horizontal="left" vertical="center" textRotation="0" wrapText="true" indent="0" shrinkToFit="false"/>
      <protection locked="true" hidden="false"/>
    </xf>
    <xf numFmtId="164" fontId="29" fillId="12" borderId="0" xfId="0" applyFont="true" applyBorder="true" applyAlignment="true" applyProtection="true">
      <alignment horizontal="left" vertical="center" textRotation="0" wrapText="true" indent="0" shrinkToFit="false"/>
      <protection locked="false" hidden="false"/>
    </xf>
    <xf numFmtId="164" fontId="30" fillId="14" borderId="2" xfId="0" applyFont="true" applyBorder="true" applyAlignment="true" applyProtection="false">
      <alignment horizontal="center" vertical="center" textRotation="0" wrapText="true" indent="0" shrinkToFit="false"/>
      <protection locked="true" hidden="false"/>
    </xf>
    <xf numFmtId="164" fontId="15" fillId="9" borderId="2" xfId="0" applyFont="true" applyBorder="true" applyAlignment="true" applyProtection="false">
      <alignment horizontal="center" vertical="center" textRotation="0" wrapText="true" indent="0" shrinkToFit="false"/>
      <protection locked="true" hidden="false"/>
    </xf>
    <xf numFmtId="164" fontId="15" fillId="9" borderId="4" xfId="0" applyFont="true" applyBorder="true" applyAlignment="true" applyProtection="false">
      <alignment horizontal="center" vertical="center" textRotation="0" wrapText="true" indent="0" shrinkToFit="false"/>
      <protection locked="true" hidden="false"/>
    </xf>
    <xf numFmtId="164" fontId="30" fillId="0" borderId="2" xfId="0" applyFont="true" applyBorder="true" applyAlignment="true" applyProtection="false">
      <alignment horizontal="general" vertical="center" textRotation="0" wrapText="false" indent="0" shrinkToFit="false"/>
      <protection locked="true" hidden="false"/>
    </xf>
    <xf numFmtId="164" fontId="30" fillId="0" borderId="2" xfId="0" applyFont="true" applyBorder="true" applyAlignment="true" applyProtection="false">
      <alignment horizontal="center" vertical="center" textRotation="0" wrapText="true" indent="0" shrinkToFit="false"/>
      <protection locked="true" hidden="false"/>
    </xf>
    <xf numFmtId="164" fontId="31" fillId="8" borderId="2" xfId="0" applyFont="true" applyBorder="true" applyAlignment="true" applyProtection="false">
      <alignment horizontal="general" vertical="center" textRotation="0" wrapText="false" indent="0" shrinkToFit="false"/>
      <protection locked="true" hidden="false"/>
    </xf>
    <xf numFmtId="164" fontId="31" fillId="0" borderId="2" xfId="0" applyFont="true" applyBorder="true" applyAlignment="true" applyProtection="false">
      <alignment horizontal="general" vertical="center" textRotation="0" wrapText="false" indent="0" shrinkToFit="false"/>
      <protection locked="true" hidden="false"/>
    </xf>
    <xf numFmtId="164" fontId="31" fillId="0" borderId="2" xfId="0" applyFont="true" applyBorder="true" applyAlignment="true" applyProtection="false">
      <alignment horizontal="center" vertical="center" textRotation="0" wrapText="true" indent="0" shrinkToFit="false"/>
      <protection locked="true" hidden="false"/>
    </xf>
    <xf numFmtId="164" fontId="30" fillId="8" borderId="2" xfId="0" applyFont="true" applyBorder="true" applyAlignment="true" applyProtection="false">
      <alignment horizontal="general" vertical="center" textRotation="0" wrapText="false" indent="0" shrinkToFit="false"/>
      <protection locked="true" hidden="false"/>
    </xf>
    <xf numFmtId="164" fontId="30" fillId="2" borderId="0" xfId="0" applyFont="true" applyBorder="false" applyAlignment="true" applyProtection="false">
      <alignment horizontal="general" vertical="center" textRotation="0" wrapText="false" indent="0" shrinkToFit="false"/>
      <protection locked="true" hidden="false"/>
    </xf>
    <xf numFmtId="164" fontId="30" fillId="2" borderId="0" xfId="0" applyFont="true" applyBorder="false" applyAlignment="true" applyProtection="false">
      <alignment horizontal="center" vertical="center" textRotation="0" wrapText="true" indent="0" shrinkToFit="false"/>
      <protection locked="true" hidden="false"/>
    </xf>
    <xf numFmtId="166" fontId="0" fillId="0" borderId="2" xfId="0" applyFont="false" applyBorder="true" applyAlignment="true" applyProtection="false">
      <alignment horizontal="center" vertical="bottom" textRotation="0" wrapText="false" indent="0" shrinkToFit="false"/>
      <protection locked="true" hidden="false"/>
    </xf>
    <xf numFmtId="164" fontId="15" fillId="12" borderId="0" xfId="0" applyFont="true" applyBorder="false" applyAlignment="true" applyProtection="true">
      <alignment horizontal="left" vertical="center" textRotation="0" wrapText="true" indent="0" shrinkToFit="false"/>
      <protection locked="false" hidden="false"/>
    </xf>
    <xf numFmtId="164" fontId="13" fillId="2" borderId="0" xfId="0" applyFont="true" applyBorder="false" applyAlignment="tru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3" xfId="20"/>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2CC"/>
      <rgbColor rgb="FFFBE5D6"/>
      <rgbColor rgb="FF660066"/>
      <rgbColor rgb="FFFF8080"/>
      <rgbColor rgb="FF0066CC"/>
      <rgbColor rgb="FFD9D9D9"/>
      <rgbColor rgb="FF000080"/>
      <rgbColor rgb="FFFF00FF"/>
      <rgbColor rgb="FFFFE699"/>
      <rgbColor rgb="FF00FFFF"/>
      <rgbColor rgb="FF800080"/>
      <rgbColor rgb="FF800000"/>
      <rgbColor rgb="FF008080"/>
      <rgbColor rgb="FF0000FF"/>
      <rgbColor rgb="FF00CCFF"/>
      <rgbColor rgb="FFFBE4D4"/>
      <rgbColor rgb="FFC5E0B4"/>
      <rgbColor rgb="FFF1EEBB"/>
      <rgbColor rgb="FFA9D18E"/>
      <rgbColor rgb="FFFF99CC"/>
      <rgbColor rgb="FFCC99FF"/>
      <rgbColor rgb="FFFFD966"/>
      <rgbColor rgb="FF2E75B6"/>
      <rgbColor rgb="FF33CCCC"/>
      <rgbColor rgb="FF99CC00"/>
      <rgbColor rgb="FFFFCC00"/>
      <rgbColor rgb="FFFF9900"/>
      <rgbColor rgb="FFFF6600"/>
      <rgbColor rgb="FF606060"/>
      <rgbColor rgb="FF969696"/>
      <rgbColor rgb="FF003366"/>
      <rgbColor rgb="FF339966"/>
      <rgbColor rgb="FF003300"/>
      <rgbColor rgb="FF333300"/>
      <rgbColor rgb="FF993300"/>
      <rgbColor rgb="FF993366"/>
      <rgbColor rgb="FF44546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externalLink" Target="externalLinks/externalLink1.xml"/><Relationship Id="rId12" Type="http://schemas.openxmlformats.org/officeDocument/2006/relationships/externalLink" Target="externalLinks/externalLink2.xml"/><Relationship Id="rId13" Type="http://schemas.openxmlformats.org/officeDocument/2006/relationships/externalLink" Target="externalLinks/externalLink3.xml"/><Relationship Id="rId1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xdr:col>
      <xdr:colOff>181080</xdr:colOff>
      <xdr:row>0</xdr:row>
      <xdr:rowOff>152280</xdr:rowOff>
    </xdr:from>
    <xdr:to>
      <xdr:col>4</xdr:col>
      <xdr:colOff>733680</xdr:colOff>
      <xdr:row>3</xdr:row>
      <xdr:rowOff>188280</xdr:rowOff>
    </xdr:to>
    <xdr:pic>
      <xdr:nvPicPr>
        <xdr:cNvPr id="1" name="Imagen 1"/>
        <xdr:cNvPicPr/>
      </xdr:nvPicPr>
      <xdr:blipFill>
        <a:blip r:embed="rId1"/>
        <a:stretch/>
      </xdr:blipFill>
      <xdr:spPr>
        <a:xfrm>
          <a:off x="412920" y="152280"/>
          <a:ext cx="7771680" cy="607680"/>
        </a:xfrm>
        <a:prstGeom prst="rect">
          <a:avLst/>
        </a:prstGeom>
        <a:noFill/>
        <a:ln w="0">
          <a:noFill/>
        </a:ln>
      </xdr:spPr>
    </xdr:pic>
    <xdr:clientData/>
  </xdr:twoCellAnchor>
</xdr:wsDr>
</file>

<file path=xl/externalLinks/_rels/externalLink1.xml.rels><?xml version="1.0" encoding="UTF-8"?>
<Relationships xmlns="http://schemas.openxmlformats.org/package/2006/relationships"><Relationship Id="rId1" Type="http://schemas.openxmlformats.org/officeDocument/2006/relationships/externalLinkPath" Target="../../../../../../../../Proyectos/3061448_INNOVA_2325/AKIS/07_FORMULARIOS/FORMACI&#211;N/OBSOLETOS/SOLICITUD_AKIS%20FORMACION_20241220_con%20pesta&#241;as%20xml.xlsm" TargetMode="External"/>
</Relationships>
</file>

<file path=xl/externalLinks/_rels/externalLink2.xml.rels><?xml version="1.0" encoding="UTF-8"?>
<Relationships xmlns="http://schemas.openxmlformats.org/package/2006/relationships"><Relationship Id="rId1" Type="http://schemas.openxmlformats.org/officeDocument/2006/relationships/externalLinkPath" Target="../../../../../../../../Proyectos/3061448_INNOVA_2325/AKIS/05_EXPEDIENTES_ASESORAMIENTO/2024/05_MODIFICACIONES/CALCULOS_MOD%20XX_ASESOR_(NOMBRE%20ENTIDAD)_2025XXXX.xlsm" TargetMode="External"/>
</Relationships>
</file>

<file path=xl/externalLinks/_rels/externalLink3.xml.rels><?xml version="1.0" encoding="UTF-8"?>
<Relationships xmlns="http://schemas.openxmlformats.org/package/2006/relationships"><Relationship Id="rId1" Type="http://schemas.openxmlformats.org/officeDocument/2006/relationships/externalLinkPath" Target="../../../../../../../../Proyectos/3061448_INNOVA_2325/AKIS/07_FORMULARIOS/ASESORAMIENTO/SOLICITUD_AKIS_ASESOR_20241128.xlsm" TargetMode="External"/>
</Relationships>
</file>

<file path=xl/externalLinks/externalLink1.xml><?xml version="1.0" encoding="utf-8"?>
<externalLink xmlns="http://schemas.openxmlformats.org/spreadsheetml/2006/main">
  <externalBook xmlns:r="http://schemas.openxmlformats.org/officeDocument/2006/relationships" r:id="rId1">
    <sheetNames>
      <sheetName val="INSTRUCCIONES "/>
      <sheetName val="DATOS GENERALES"/>
      <sheetName val="Tablas "/>
      <sheetName val="XML-ListadoSolicitudes"/>
      <sheetName val="XML-Solicitante-Agrupacion"/>
      <sheetName val="XML-Solicitante-Ent"/>
      <sheetName val="PRESUPUESTO P.I.A-Agrupación"/>
      <sheetName val="PRESUPUESTO P.I.B-Agrupación"/>
      <sheetName val="PRESUPUESTO P.I.C.1-Agrupación"/>
      <sheetName val="PRESUPUESTO P.I.C.2-Agrupación"/>
      <sheetName val="PRESUPUESTO P.II.A-Agrupación"/>
      <sheetName val="PRESUPUESTO P.II.B-Agrupación"/>
      <sheetName val="PRESUPUESTO P.I.A-Entidad"/>
      <sheetName val="PRESUPUESTO P.I.B-Entidad"/>
      <sheetName val="PRESUPUESTO P.I.C.1-Entidad"/>
      <sheetName val="PRESUPUESTO P.I.C.2-Entidad"/>
      <sheetName val="PRESUPUESTO P.II.A-Entidad"/>
      <sheetName val="PRESUPUESTO P.II.B-Entidad"/>
      <sheetName val="RESUMEN-Agrupación"/>
      <sheetName val="RESUMEN-Entidad"/>
      <sheetName val="RESUMIDO-P.I.A-Agrupación"/>
      <sheetName val="RESUMIDO-P.I.B-Agrupación"/>
      <sheetName val="RESUMIDO-P.I.C.1-Agrupación"/>
      <sheetName val="RESUMIDO-P.I.C.2-Agrupación"/>
      <sheetName val="RESUMIDO-P.II.A-Agrupación"/>
      <sheetName val="RESUMIDO-P.II.B-Agrupación"/>
      <sheetName val="RESUMIDO-P.I.A-Entidad"/>
      <sheetName val="RESUMIDO-P.I.B-Entidad"/>
      <sheetName val="RESUMIDO-P.I.C.1-Entidad"/>
      <sheetName val="RESUMIDO-P.I.C.2-Entidad"/>
      <sheetName val="RESUMIDO-P.II.A-Entidad"/>
      <sheetName val="RESUMIDO-P.II.B-Entidad"/>
      <sheetName val="FICHA-P.I.A-Agrupación"/>
      <sheetName val="FICHA-P.I.B-Agrupación"/>
      <sheetName val="FICHA-P.I.C.1-Agrupación"/>
      <sheetName val="FICHA-P.I.C.2-Agrupación"/>
      <sheetName val="FICHA-P.II.A-Agrupación"/>
      <sheetName val="FICHA-P.II.B-Agrupación"/>
      <sheetName val="FICHA-P.I.A-Entidad"/>
      <sheetName val="FICHA-P.I.B-Entidad"/>
      <sheetName val="FICHA-P.I.C.1-Entidad"/>
      <sheetName val="FICHA-P.I.C.2-Entidad"/>
      <sheetName val="FICHA-P.II.A-Entidad"/>
      <sheetName val="FICHA-P.II.B-Entida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INSTRUCCIONES"/>
      <sheetName val="DATOS GENERALES"/>
      <sheetName val="PRESUPUESTO P.III"/>
      <sheetName val="PRESUPUESTO P.IV"/>
      <sheetName val="XML-ListadoSolicitudes"/>
      <sheetName val="XML-Solicitante"/>
      <sheetName val="Tablas"/>
      <sheetName val="RESUMEN"/>
      <sheetName val="RESUMIDO P.III"/>
      <sheetName val="RESUMIDO P.IV"/>
      <sheetName val="FICHA-P.III"/>
      <sheetName val="FICHA-P.IV"/>
      <sheetName val="CALCULOS_MOD XX_ASESOR_(NOMBRE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INSTRUCCIONES"/>
      <sheetName val="DATOS GENERALES"/>
      <sheetName val="PRESUPUESTO P.III"/>
      <sheetName val="PRESUPUESTO P.IV"/>
      <sheetName val="XML-ListadoSolicitudes"/>
      <sheetName val="XML-Solicitante"/>
      <sheetName val="Tablas"/>
      <sheetName val="RESUMEN"/>
      <sheetName val="RESUMIDO P.III"/>
      <sheetName val="RESUMIDO P.IV"/>
      <sheetName val="FICHA-P.III"/>
      <sheetName val="FICHA-P.IV"/>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8:G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3" activeCellId="0" sqref="B13"/>
    </sheetView>
  </sheetViews>
  <sheetFormatPr defaultColWidth="10.6796875" defaultRowHeight="15" customHeight="false" zeroHeight="false" outlineLevelRow="0" outlineLevelCol="0"/>
  <cols>
    <col collapsed="false" customWidth="true" hidden="false" outlineLevel="0" max="1" min="1" style="1" width="3.29"/>
    <col collapsed="false" customWidth="true" hidden="false" outlineLevel="0" max="2" min="2" style="2" width="8"/>
    <col collapsed="false" customWidth="true" hidden="false" outlineLevel="0" max="3" min="3" style="2" width="74.71"/>
    <col collapsed="false" customWidth="true" hidden="false" outlineLevel="0" max="4" min="4" style="2" width="19.71"/>
    <col collapsed="false" customWidth="true" hidden="false" outlineLevel="0" max="6" min="5" style="2" width="23.71"/>
    <col collapsed="false" customWidth="true" hidden="false" outlineLevel="0" max="7" min="7" style="2" width="46.71"/>
  </cols>
  <sheetData>
    <row r="8" customFormat="false" ht="15" hidden="false" customHeight="true" outlineLevel="0" collapsed="false">
      <c r="B8" s="3"/>
      <c r="C8" s="3"/>
      <c r="D8" s="3"/>
      <c r="E8" s="3"/>
      <c r="F8" s="3"/>
      <c r="G8" s="3"/>
    </row>
    <row r="9" customFormat="false" ht="15" hidden="false" customHeight="true" outlineLevel="0" collapsed="false">
      <c r="B9" s="4" t="s">
        <v>0</v>
      </c>
      <c r="C9" s="5"/>
      <c r="D9" s="5"/>
      <c r="E9" s="5"/>
      <c r="F9" s="5"/>
      <c r="G9" s="5"/>
    </row>
    <row r="10" customFormat="false" ht="15" hidden="false" customHeight="true" outlineLevel="0" collapsed="false">
      <c r="B10" s="4"/>
      <c r="C10" s="5"/>
      <c r="D10" s="5"/>
      <c r="E10" s="5"/>
      <c r="F10" s="5"/>
      <c r="G10" s="5"/>
    </row>
    <row r="11" customFormat="false" ht="65.25" hidden="false" customHeight="true" outlineLevel="0" collapsed="false">
      <c r="B11" s="6" t="s">
        <v>1</v>
      </c>
      <c r="C11" s="6"/>
      <c r="D11" s="6"/>
      <c r="E11" s="6"/>
      <c r="F11" s="6"/>
      <c r="G11" s="6"/>
    </row>
    <row r="12" customFormat="false" ht="15" hidden="false" customHeight="true" outlineLevel="0" collapsed="false">
      <c r="B12" s="7"/>
      <c r="C12" s="8"/>
      <c r="D12" s="8"/>
      <c r="E12" s="8"/>
      <c r="F12" s="8"/>
      <c r="G12" s="8"/>
    </row>
    <row r="13" customFormat="false" ht="375" hidden="false" customHeight="true" outlineLevel="0" collapsed="false">
      <c r="B13" s="9" t="s">
        <v>2</v>
      </c>
      <c r="C13" s="9"/>
      <c r="D13" s="9"/>
      <c r="E13" s="9"/>
      <c r="F13" s="9"/>
      <c r="G13" s="9"/>
    </row>
    <row r="14" customFormat="false" ht="15" hidden="false" customHeight="true" outlineLevel="0" collapsed="false">
      <c r="B14" s="10"/>
      <c r="C14" s="10"/>
      <c r="D14" s="10"/>
      <c r="E14" s="10"/>
      <c r="F14" s="10"/>
      <c r="G14" s="10"/>
    </row>
    <row r="15" customFormat="false" ht="15" hidden="false" customHeight="true" outlineLevel="0" collapsed="false">
      <c r="B15" s="11"/>
      <c r="C15" s="11"/>
      <c r="D15" s="11"/>
      <c r="E15" s="11"/>
      <c r="F15" s="11"/>
      <c r="G15" s="11"/>
    </row>
    <row r="16" customFormat="false" ht="15" hidden="false" customHeight="true" outlineLevel="0" collapsed="false">
      <c r="B16" s="12"/>
      <c r="C16" s="12"/>
      <c r="D16" s="12"/>
      <c r="E16" s="12"/>
      <c r="F16" s="12"/>
      <c r="G16" s="12"/>
    </row>
  </sheetData>
  <mergeCells count="3">
    <mergeCell ref="B8:G8"/>
    <mergeCell ref="B11:G11"/>
    <mergeCell ref="B13:G13"/>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J15"/>
  <sheetViews>
    <sheetView showFormulas="false" showGridLines="true" showRowColHeaders="true" showZeros="true" rightToLeft="false" tabSelected="true" showOutlineSymbols="true" defaultGridColor="true" view="normal" topLeftCell="A1" colorId="64" zoomScale="90" zoomScaleNormal="90" zoomScalePageLayoutView="100" workbookViewId="0">
      <selection pane="topLeft" activeCell="E11" activeCellId="0" sqref="E11"/>
    </sheetView>
  </sheetViews>
  <sheetFormatPr defaultColWidth="10.6796875" defaultRowHeight="15" customHeight="false" zeroHeight="false" outlineLevelRow="0" outlineLevelCol="0"/>
  <cols>
    <col collapsed="false" customWidth="true" hidden="false" outlineLevel="0" max="1" min="1" style="1" width="2"/>
    <col collapsed="false" customWidth="true" hidden="false" outlineLevel="0" max="2" min="2" style="1" width="22.71"/>
    <col collapsed="false" customWidth="true" hidden="false" outlineLevel="0" max="3" min="3" style="1" width="20.85"/>
    <col collapsed="false" customWidth="true" hidden="false" outlineLevel="0" max="4" min="4" style="1" width="26.16"/>
    <col collapsed="false" customWidth="true" hidden="false" outlineLevel="0" max="5" min="5" style="1" width="33.42"/>
    <col collapsed="false" customWidth="true" hidden="false" outlineLevel="0" max="7" min="7" style="1" width="47.42"/>
    <col collapsed="false" customWidth="true" hidden="false" outlineLevel="0" max="8" min="8" style="1" width="13"/>
    <col collapsed="false" customWidth="true" hidden="false" outlineLevel="0" max="9" min="9" style="1" width="18.29"/>
    <col collapsed="false" customWidth="true" hidden="false" outlineLevel="0" max="10" min="10" style="1" width="22.71"/>
  </cols>
  <sheetData>
    <row r="1" customFormat="false" ht="15.75" hidden="false" customHeight="true" outlineLevel="0" collapsed="false">
      <c r="B1" s="13" t="s">
        <v>3</v>
      </c>
      <c r="C1" s="13"/>
      <c r="D1" s="13"/>
      <c r="E1" s="13"/>
      <c r="F1" s="13"/>
      <c r="G1" s="13"/>
      <c r="H1" s="13"/>
      <c r="I1" s="13"/>
      <c r="J1" s="13"/>
    </row>
    <row r="2" customFormat="false" ht="15" hidden="false" customHeight="true" outlineLevel="0" collapsed="false">
      <c r="B2" s="14"/>
      <c r="C2" s="14"/>
      <c r="D2" s="14"/>
      <c r="E2" s="14"/>
      <c r="F2" s="14"/>
      <c r="G2" s="14"/>
      <c r="H2" s="14"/>
    </row>
    <row r="3" customFormat="false" ht="15.75" hidden="false" customHeight="true" outlineLevel="0" collapsed="false">
      <c r="B3" s="15" t="s">
        <v>4</v>
      </c>
      <c r="C3" s="15"/>
      <c r="D3" s="16" t="s">
        <v>5</v>
      </c>
      <c r="E3" s="16"/>
      <c r="F3" s="16"/>
      <c r="G3" s="16"/>
      <c r="H3" s="16"/>
      <c r="I3" s="16"/>
      <c r="J3" s="16"/>
    </row>
    <row r="4" customFormat="false" ht="15.75" hidden="false" customHeight="true" outlineLevel="0" collapsed="false">
      <c r="B4" s="15" t="s">
        <v>6</v>
      </c>
      <c r="C4" s="15"/>
      <c r="D4" s="16" t="s">
        <v>7</v>
      </c>
      <c r="E4" s="16"/>
      <c r="F4" s="16"/>
      <c r="G4" s="16"/>
      <c r="H4" s="16"/>
      <c r="I4" s="16"/>
      <c r="J4" s="16"/>
    </row>
    <row r="5" customFormat="false" ht="29.25" hidden="false" customHeight="true" outlineLevel="0" collapsed="false">
      <c r="B5" s="15" t="s">
        <v>8</v>
      </c>
      <c r="C5" s="15"/>
      <c r="D5" s="16" t="s">
        <v>9</v>
      </c>
      <c r="E5" s="16"/>
      <c r="F5" s="16"/>
      <c r="G5" s="16"/>
      <c r="H5" s="16"/>
      <c r="I5" s="16"/>
      <c r="J5" s="16"/>
    </row>
    <row r="6" customFormat="false" ht="15.75" hidden="false" customHeight="true" outlineLevel="0" collapsed="false">
      <c r="B6" s="15" t="s">
        <v>10</v>
      </c>
      <c r="C6" s="15"/>
      <c r="D6" s="16" t="s">
        <v>11</v>
      </c>
      <c r="E6" s="16"/>
      <c r="F6" s="16"/>
      <c r="G6" s="16"/>
      <c r="H6" s="16"/>
      <c r="I6" s="16"/>
      <c r="J6" s="16"/>
    </row>
    <row r="8" customFormat="false" ht="15.75" hidden="false" customHeight="true" outlineLevel="0" collapsed="false">
      <c r="B8" s="17" t="s">
        <v>12</v>
      </c>
      <c r="C8" s="18"/>
      <c r="D8" s="18"/>
      <c r="E8" s="18"/>
      <c r="G8" s="19" t="s">
        <v>13</v>
      </c>
      <c r="H8" s="19"/>
      <c r="I8" s="19"/>
      <c r="J8" s="19"/>
    </row>
    <row r="10" customFormat="false" ht="45" hidden="false" customHeight="true" outlineLevel="0" collapsed="false">
      <c r="B10" s="20"/>
      <c r="C10" s="20"/>
      <c r="D10" s="21"/>
      <c r="E10" s="21"/>
      <c r="G10" s="20" t="s">
        <v>14</v>
      </c>
      <c r="H10" s="20" t="s">
        <v>15</v>
      </c>
      <c r="I10" s="21" t="s">
        <v>16</v>
      </c>
      <c r="J10" s="21" t="s">
        <v>17</v>
      </c>
    </row>
    <row r="11" customFormat="false" ht="15" hidden="false" customHeight="true" outlineLevel="0" collapsed="false">
      <c r="B11" s="22"/>
      <c r="C11" s="22"/>
      <c r="D11" s="22"/>
      <c r="E11" s="22"/>
      <c r="G11" s="22" t="s">
        <v>18</v>
      </c>
      <c r="H11" s="23" t="s">
        <v>19</v>
      </c>
      <c r="I11" s="22" t="s">
        <v>20</v>
      </c>
      <c r="J11" s="22" t="s">
        <v>21</v>
      </c>
    </row>
    <row r="12" customFormat="false" ht="15" hidden="false" customHeight="true" outlineLevel="0" collapsed="false">
      <c r="G12" s="22" t="s">
        <v>9</v>
      </c>
      <c r="H12" s="22" t="s">
        <v>11</v>
      </c>
      <c r="I12" s="22" t="s">
        <v>22</v>
      </c>
      <c r="J12" s="22" t="s">
        <v>23</v>
      </c>
    </row>
    <row r="13" customFormat="false" ht="15" hidden="false" customHeight="true" outlineLevel="0" collapsed="false">
      <c r="G13" s="22"/>
      <c r="H13" s="22"/>
      <c r="I13" s="22"/>
      <c r="J13" s="22"/>
    </row>
    <row r="14" customFormat="false" ht="15" hidden="false" customHeight="true" outlineLevel="0" collapsed="false">
      <c r="G14" s="22"/>
      <c r="H14" s="22"/>
      <c r="I14" s="22"/>
      <c r="J14" s="22"/>
    </row>
    <row r="15" customFormat="false" ht="15" hidden="false" customHeight="true" outlineLevel="0" collapsed="false">
      <c r="G15" s="22"/>
      <c r="H15" s="22"/>
      <c r="I15" s="22"/>
      <c r="J15" s="22"/>
    </row>
  </sheetData>
  <mergeCells count="10">
    <mergeCell ref="B1:J1"/>
    <mergeCell ref="B3:C3"/>
    <mergeCell ref="D3:J3"/>
    <mergeCell ref="B4:C4"/>
    <mergeCell ref="D4:J4"/>
    <mergeCell ref="B5:C5"/>
    <mergeCell ref="D5:J5"/>
    <mergeCell ref="B6:C6"/>
    <mergeCell ref="D6:J6"/>
    <mergeCell ref="G8:J8"/>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BG5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O47" activeCellId="0" sqref="O47"/>
    </sheetView>
  </sheetViews>
  <sheetFormatPr defaultColWidth="11.43359375" defaultRowHeight="12.75" customHeight="false" zeroHeight="false" outlineLevelRow="0" outlineLevelCol="0"/>
  <cols>
    <col collapsed="false" customWidth="true" hidden="false" outlineLevel="0" max="1" min="1" style="24" width="2.29"/>
    <col collapsed="false" customWidth="true" hidden="false" outlineLevel="0" max="2" min="2" style="24" width="44.14"/>
    <col collapsed="false" customWidth="true" hidden="false" outlineLevel="0" max="58" min="3" style="24" width="11.85"/>
    <col collapsed="false" customWidth="false" hidden="false" outlineLevel="0" max="16384" min="59" style="24" width="11.43"/>
  </cols>
  <sheetData>
    <row r="1" customFormat="false" ht="28.5" hidden="false" customHeight="true" outlineLevel="0" collapsed="false">
      <c r="B1" s="25" t="s">
        <v>24</v>
      </c>
      <c r="C1" s="25"/>
      <c r="D1" s="25"/>
      <c r="E1" s="25"/>
      <c r="F1" s="25"/>
      <c r="G1" s="25"/>
      <c r="H1" s="25"/>
      <c r="I1" s="25"/>
      <c r="J1" s="25"/>
      <c r="K1" s="25"/>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c r="AO1" s="25"/>
      <c r="AP1" s="25"/>
      <c r="AQ1" s="25"/>
      <c r="AR1" s="25"/>
      <c r="AS1" s="25"/>
      <c r="AT1" s="25"/>
      <c r="AU1" s="25"/>
      <c r="AV1" s="25"/>
      <c r="AW1" s="25"/>
      <c r="AX1" s="25"/>
      <c r="AY1" s="25"/>
      <c r="AZ1" s="25"/>
      <c r="BA1" s="25"/>
      <c r="BB1" s="25"/>
      <c r="BC1" s="25"/>
      <c r="BD1" s="25"/>
      <c r="BE1" s="25"/>
      <c r="BF1" s="25"/>
      <c r="BG1" s="14"/>
    </row>
    <row r="2" s="14" customFormat="true" ht="19.5" hidden="false" customHeight="true" outlineLevel="0" collapsed="false">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row>
    <row r="3" customFormat="false" ht="15.75" hidden="false" customHeight="true" outlineLevel="0" collapsed="false">
      <c r="B3" s="27" t="s">
        <v>4</v>
      </c>
      <c r="C3" s="27"/>
      <c r="D3" s="16" t="s">
        <v>5</v>
      </c>
      <c r="E3" s="16"/>
      <c r="F3" s="16"/>
      <c r="G3" s="16"/>
      <c r="H3" s="16"/>
      <c r="I3" s="16"/>
      <c r="J3" s="16"/>
      <c r="K3" s="16"/>
      <c r="L3" s="16"/>
      <c r="M3" s="16"/>
      <c r="N3" s="16"/>
      <c r="O3" s="16"/>
      <c r="P3" s="14"/>
      <c r="Q3" s="14"/>
      <c r="R3" s="14"/>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row>
    <row r="4" customFormat="false" ht="15.75" hidden="false" customHeight="true" outlineLevel="0" collapsed="false">
      <c r="B4" s="27" t="s">
        <v>25</v>
      </c>
      <c r="C4" s="27"/>
      <c r="D4" s="16" t="s">
        <v>7</v>
      </c>
      <c r="E4" s="16"/>
      <c r="F4" s="16"/>
      <c r="G4" s="16"/>
      <c r="H4" s="16"/>
      <c r="I4" s="16"/>
      <c r="J4" s="16"/>
      <c r="K4" s="16"/>
      <c r="L4" s="16"/>
      <c r="M4" s="16"/>
      <c r="N4" s="16"/>
      <c r="O4" s="16"/>
      <c r="P4" s="14"/>
      <c r="Q4" s="14"/>
      <c r="R4" s="14"/>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row>
    <row r="5" customFormat="false" ht="15.75" hidden="false" customHeight="true" outlineLevel="0" collapsed="false">
      <c r="B5" s="27" t="s">
        <v>8</v>
      </c>
      <c r="C5" s="27"/>
      <c r="D5" s="16" t="s">
        <v>9</v>
      </c>
      <c r="E5" s="16"/>
      <c r="F5" s="16"/>
      <c r="G5" s="16"/>
      <c r="H5" s="16"/>
      <c r="I5" s="16"/>
      <c r="J5" s="16"/>
      <c r="K5" s="16"/>
      <c r="L5" s="16"/>
      <c r="M5" s="16"/>
      <c r="N5" s="16"/>
      <c r="O5" s="16"/>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row>
    <row r="6" customFormat="false" ht="15.75" hidden="false" customHeight="true" outlineLevel="0" collapsed="false">
      <c r="B6" s="27" t="s">
        <v>10</v>
      </c>
      <c r="C6" s="27"/>
      <c r="D6" s="16" t="s">
        <v>11</v>
      </c>
      <c r="E6" s="16"/>
      <c r="F6" s="16"/>
      <c r="G6" s="16"/>
      <c r="H6" s="16"/>
      <c r="I6" s="16"/>
      <c r="J6" s="16"/>
      <c r="K6" s="16"/>
      <c r="L6" s="16"/>
      <c r="M6" s="16"/>
      <c r="N6" s="16"/>
      <c r="O6" s="16"/>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row>
    <row r="7" customFormat="false" ht="12.75" hidden="false" customHeight="true" outlineLevel="0" collapsed="false">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row>
    <row r="8" customFormat="false" ht="12.75" hidden="false" customHeight="true" outlineLevel="0" collapsed="false">
      <c r="B8" s="19" t="s">
        <v>26</v>
      </c>
      <c r="C8" s="19"/>
      <c r="D8" s="19"/>
      <c r="E8" s="19"/>
      <c r="F8" s="19"/>
      <c r="G8" s="19"/>
      <c r="H8" s="19"/>
      <c r="I8" s="19"/>
      <c r="J8" s="19"/>
      <c r="K8" s="19"/>
      <c r="L8" s="19"/>
      <c r="M8" s="19"/>
      <c r="N8" s="19"/>
      <c r="O8" s="19"/>
      <c r="P8" s="19"/>
      <c r="Q8" s="19"/>
      <c r="R8" s="19"/>
      <c r="S8" s="19"/>
      <c r="T8" s="19"/>
      <c r="U8" s="19"/>
      <c r="V8" s="19"/>
      <c r="W8" s="19"/>
      <c r="X8" s="19"/>
      <c r="Y8" s="19"/>
      <c r="Z8" s="19"/>
      <c r="AA8" s="19"/>
      <c r="AB8" s="19"/>
      <c r="AC8" s="19"/>
      <c r="AD8" s="19"/>
      <c r="AE8" s="19"/>
      <c r="AF8" s="19"/>
      <c r="AG8" s="19"/>
      <c r="AH8" s="19"/>
      <c r="AI8" s="19"/>
      <c r="AJ8" s="19"/>
      <c r="AK8" s="19"/>
      <c r="AL8" s="19"/>
      <c r="AM8" s="19"/>
      <c r="AN8" s="19"/>
      <c r="AO8" s="19"/>
      <c r="AP8" s="19"/>
      <c r="AQ8" s="19"/>
      <c r="AR8" s="19"/>
      <c r="AS8" s="19"/>
      <c r="AT8" s="19"/>
      <c r="AU8" s="19"/>
      <c r="AV8" s="19"/>
      <c r="AW8" s="19"/>
      <c r="AX8" s="19"/>
      <c r="AY8" s="19"/>
      <c r="AZ8" s="19"/>
      <c r="BA8" s="19"/>
      <c r="BB8" s="19"/>
      <c r="BC8" s="19"/>
      <c r="BD8" s="19"/>
      <c r="BE8" s="19"/>
      <c r="BF8" s="19"/>
      <c r="BG8" s="14"/>
    </row>
    <row r="9" customFormat="false" ht="8.25" hidden="false" customHeight="true" outlineLevel="0" collapsed="false">
      <c r="B9" s="14"/>
      <c r="C9" s="14"/>
      <c r="D9" s="14"/>
      <c r="E9" s="14"/>
      <c r="F9" s="14"/>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row>
    <row r="10" customFormat="false" ht="15" hidden="false" customHeight="true" outlineLevel="0" collapsed="false">
      <c r="B10" s="28"/>
      <c r="C10" s="14"/>
      <c r="D10" s="14"/>
      <c r="E10" s="14"/>
      <c r="F10" s="14"/>
      <c r="G10" s="14"/>
      <c r="H10" s="14"/>
      <c r="I10" s="14"/>
      <c r="J10" s="14"/>
      <c r="K10" s="14"/>
      <c r="L10" s="14"/>
      <c r="M10" s="14"/>
      <c r="N10" s="14"/>
      <c r="O10" s="14"/>
      <c r="P10" s="14"/>
      <c r="Q10" s="14"/>
      <c r="R10" s="14"/>
      <c r="S10" s="14"/>
      <c r="T10" s="14"/>
      <c r="U10" s="14"/>
      <c r="V10" s="14"/>
      <c r="W10" s="14"/>
      <c r="X10" s="14"/>
      <c r="Y10" s="14"/>
      <c r="Z10" s="14"/>
      <c r="AA10" s="14"/>
      <c r="AB10" s="14"/>
      <c r="AC10" s="14"/>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row>
    <row r="11" customFormat="false" ht="12.75" hidden="false" customHeight="true" outlineLevel="0" collapsed="false">
      <c r="B11" s="14"/>
      <c r="C11" s="14"/>
      <c r="D11" s="14"/>
      <c r="E11" s="14"/>
      <c r="F11" s="14"/>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row>
    <row r="12" s="29" customFormat="true" ht="12.75" hidden="false" customHeight="true" outlineLevel="0" collapsed="false">
      <c r="B12" s="30" t="s">
        <v>27</v>
      </c>
      <c r="C12" s="30" t="s">
        <v>28</v>
      </c>
      <c r="D12" s="30"/>
      <c r="E12" s="30"/>
      <c r="F12" s="30"/>
      <c r="G12" s="30"/>
      <c r="H12" s="30" t="s">
        <v>29</v>
      </c>
      <c r="I12" s="30"/>
      <c r="J12" s="30"/>
      <c r="K12" s="30"/>
      <c r="L12" s="30"/>
      <c r="M12" s="30" t="s">
        <v>30</v>
      </c>
      <c r="N12" s="30"/>
      <c r="O12" s="30"/>
      <c r="P12" s="30"/>
      <c r="Q12" s="30"/>
      <c r="R12" s="30" t="s">
        <v>31</v>
      </c>
      <c r="S12" s="30"/>
      <c r="T12" s="30"/>
      <c r="U12" s="30"/>
      <c r="V12" s="30"/>
      <c r="W12" s="30" t="s">
        <v>32</v>
      </c>
      <c r="X12" s="30"/>
      <c r="Y12" s="30"/>
      <c r="Z12" s="30"/>
      <c r="AA12" s="30"/>
      <c r="AB12" s="30" t="s">
        <v>33</v>
      </c>
      <c r="AC12" s="30"/>
      <c r="AD12" s="30"/>
      <c r="AE12" s="30"/>
      <c r="AF12" s="30"/>
      <c r="AG12" s="30" t="s">
        <v>34</v>
      </c>
      <c r="AH12" s="30"/>
      <c r="AI12" s="30"/>
      <c r="AJ12" s="30"/>
      <c r="AK12" s="30"/>
      <c r="AL12" s="30" t="s">
        <v>35</v>
      </c>
      <c r="AM12" s="30"/>
      <c r="AN12" s="30"/>
      <c r="AO12" s="30"/>
      <c r="AP12" s="30"/>
      <c r="AQ12" s="30" t="s">
        <v>36</v>
      </c>
      <c r="AR12" s="30"/>
      <c r="AS12" s="30"/>
      <c r="AT12" s="30"/>
      <c r="AU12" s="30"/>
      <c r="AV12" s="30" t="s">
        <v>37</v>
      </c>
      <c r="AW12" s="30"/>
      <c r="AX12" s="30"/>
      <c r="AY12" s="30"/>
      <c r="AZ12" s="30"/>
      <c r="BA12" s="30" t="s">
        <v>38</v>
      </c>
      <c r="BB12" s="30"/>
      <c r="BC12" s="30"/>
      <c r="BD12" s="30"/>
      <c r="BE12" s="30"/>
      <c r="BF12" s="31" t="s">
        <v>39</v>
      </c>
      <c r="BG12" s="32"/>
    </row>
    <row r="13" s="33" customFormat="true" ht="12.75" hidden="false" customHeight="true" outlineLevel="0" collapsed="false">
      <c r="B13" s="34" t="s">
        <v>40</v>
      </c>
      <c r="C13" s="34" t="s">
        <v>41</v>
      </c>
      <c r="D13" s="34" t="s">
        <v>42</v>
      </c>
      <c r="E13" s="34" t="s">
        <v>43</v>
      </c>
      <c r="F13" s="34" t="s">
        <v>44</v>
      </c>
      <c r="G13" s="34" t="s">
        <v>45</v>
      </c>
      <c r="H13" s="34" t="s">
        <v>41</v>
      </c>
      <c r="I13" s="34" t="s">
        <v>42</v>
      </c>
      <c r="J13" s="34" t="s">
        <v>43</v>
      </c>
      <c r="K13" s="34" t="s">
        <v>44</v>
      </c>
      <c r="L13" s="34" t="s">
        <v>45</v>
      </c>
      <c r="M13" s="34" t="s">
        <v>41</v>
      </c>
      <c r="N13" s="34" t="s">
        <v>42</v>
      </c>
      <c r="O13" s="34" t="s">
        <v>43</v>
      </c>
      <c r="P13" s="34" t="s">
        <v>44</v>
      </c>
      <c r="Q13" s="34" t="s">
        <v>45</v>
      </c>
      <c r="R13" s="34" t="s">
        <v>41</v>
      </c>
      <c r="S13" s="34" t="s">
        <v>42</v>
      </c>
      <c r="T13" s="34" t="s">
        <v>43</v>
      </c>
      <c r="U13" s="34" t="s">
        <v>44</v>
      </c>
      <c r="V13" s="34" t="s">
        <v>45</v>
      </c>
      <c r="W13" s="34" t="s">
        <v>41</v>
      </c>
      <c r="X13" s="34" t="s">
        <v>42</v>
      </c>
      <c r="Y13" s="34" t="s">
        <v>43</v>
      </c>
      <c r="Z13" s="34" t="s">
        <v>44</v>
      </c>
      <c r="AA13" s="34" t="s">
        <v>45</v>
      </c>
      <c r="AB13" s="34" t="s">
        <v>41</v>
      </c>
      <c r="AC13" s="34" t="s">
        <v>42</v>
      </c>
      <c r="AD13" s="34" t="s">
        <v>43</v>
      </c>
      <c r="AE13" s="34" t="s">
        <v>44</v>
      </c>
      <c r="AF13" s="34" t="s">
        <v>45</v>
      </c>
      <c r="AG13" s="34" t="s">
        <v>41</v>
      </c>
      <c r="AH13" s="34" t="s">
        <v>42</v>
      </c>
      <c r="AI13" s="34" t="s">
        <v>43</v>
      </c>
      <c r="AJ13" s="34" t="s">
        <v>44</v>
      </c>
      <c r="AK13" s="34" t="s">
        <v>45</v>
      </c>
      <c r="AL13" s="34" t="s">
        <v>41</v>
      </c>
      <c r="AM13" s="34" t="s">
        <v>42</v>
      </c>
      <c r="AN13" s="34" t="s">
        <v>43</v>
      </c>
      <c r="AO13" s="34" t="s">
        <v>44</v>
      </c>
      <c r="AP13" s="34" t="s">
        <v>45</v>
      </c>
      <c r="AQ13" s="34" t="s">
        <v>41</v>
      </c>
      <c r="AR13" s="34" t="s">
        <v>42</v>
      </c>
      <c r="AS13" s="34" t="s">
        <v>43</v>
      </c>
      <c r="AT13" s="34" t="s">
        <v>44</v>
      </c>
      <c r="AU13" s="34" t="s">
        <v>45</v>
      </c>
      <c r="AV13" s="34" t="s">
        <v>41</v>
      </c>
      <c r="AW13" s="34" t="s">
        <v>42</v>
      </c>
      <c r="AX13" s="34" t="s">
        <v>43</v>
      </c>
      <c r="AY13" s="34" t="s">
        <v>44</v>
      </c>
      <c r="AZ13" s="34" t="s">
        <v>45</v>
      </c>
      <c r="BA13" s="34" t="s">
        <v>41</v>
      </c>
      <c r="BB13" s="34" t="s">
        <v>42</v>
      </c>
      <c r="BC13" s="34" t="s">
        <v>43</v>
      </c>
      <c r="BD13" s="34" t="s">
        <v>44</v>
      </c>
      <c r="BE13" s="34" t="s">
        <v>45</v>
      </c>
      <c r="BF13" s="31"/>
      <c r="BG13" s="35"/>
    </row>
    <row r="14" customFormat="false" ht="12.75" hidden="false" customHeight="true" outlineLevel="0" collapsed="false">
      <c r="B14" s="36" t="s">
        <v>46</v>
      </c>
      <c r="C14" s="37"/>
      <c r="D14" s="38"/>
      <c r="E14" s="38"/>
      <c r="F14" s="38"/>
      <c r="G14" s="38"/>
      <c r="H14" s="38"/>
      <c r="I14" s="38"/>
      <c r="J14" s="38"/>
      <c r="K14" s="38"/>
      <c r="L14" s="38"/>
      <c r="M14" s="38"/>
      <c r="N14" s="38"/>
      <c r="O14" s="38"/>
      <c r="P14" s="38"/>
      <c r="Q14" s="38"/>
      <c r="R14" s="38"/>
      <c r="S14" s="38"/>
      <c r="T14" s="38"/>
      <c r="U14" s="38"/>
      <c r="V14" s="38"/>
      <c r="W14" s="38"/>
      <c r="X14" s="38"/>
      <c r="Y14" s="38"/>
      <c r="Z14" s="38"/>
      <c r="AA14" s="38"/>
      <c r="AB14" s="38"/>
      <c r="AC14" s="38"/>
      <c r="AD14" s="38"/>
      <c r="AE14" s="38"/>
      <c r="AF14" s="38"/>
      <c r="AG14" s="38"/>
      <c r="AH14" s="38"/>
      <c r="AI14" s="38"/>
      <c r="AJ14" s="38"/>
      <c r="AK14" s="38"/>
      <c r="AL14" s="38"/>
      <c r="AM14" s="38"/>
      <c r="AN14" s="38"/>
      <c r="AO14" s="38"/>
      <c r="AP14" s="38"/>
      <c r="AQ14" s="38"/>
      <c r="AR14" s="38"/>
      <c r="AS14" s="38"/>
      <c r="AT14" s="38"/>
      <c r="AU14" s="38"/>
      <c r="AV14" s="38"/>
      <c r="AW14" s="38"/>
      <c r="AX14" s="38"/>
      <c r="AY14" s="38"/>
      <c r="AZ14" s="38"/>
      <c r="BA14" s="39" t="n">
        <f aca="false">C14+H14+M14+R14+W14+AB14+AG14+AL14+AQ14+AV14</f>
        <v>0</v>
      </c>
      <c r="BB14" s="39" t="n">
        <f aca="false">D14+I14+N14+S14+X14+AC14+AH14+AM14+AR14+AW14</f>
        <v>0</v>
      </c>
      <c r="BC14" s="39" t="n">
        <f aca="false">E14+J14+O14+T14+Y14+AD14+AI14+AN14+AS14+AX14</f>
        <v>0</v>
      </c>
      <c r="BD14" s="39" t="n">
        <f aca="false">F14+K14+P14+U14+Z14+AE14+AJ14+AO14+AT14+AY14</f>
        <v>0</v>
      </c>
      <c r="BE14" s="39" t="n">
        <f aca="false">G14+L14+Q14+V14+AA14+AF14+AK14+AP14+AU14+AZ14</f>
        <v>0</v>
      </c>
      <c r="BF14" s="40" t="n">
        <f aca="false">SUM(BA14:BE14)</f>
        <v>0</v>
      </c>
      <c r="BG14" s="14"/>
    </row>
    <row r="15" customFormat="false" ht="12.75" hidden="false" customHeight="true" outlineLevel="0" collapsed="false">
      <c r="B15" s="41" t="s">
        <v>47</v>
      </c>
      <c r="C15" s="42"/>
      <c r="D15" s="38"/>
      <c r="E15" s="38"/>
      <c r="F15" s="38"/>
      <c r="G15" s="38"/>
      <c r="H15" s="38"/>
      <c r="I15" s="38"/>
      <c r="J15" s="38"/>
      <c r="K15" s="38"/>
      <c r="L15" s="38"/>
      <c r="M15" s="38"/>
      <c r="N15" s="38"/>
      <c r="O15" s="38"/>
      <c r="P15" s="38"/>
      <c r="Q15" s="38"/>
      <c r="R15" s="38" t="n">
        <v>2970</v>
      </c>
      <c r="S15" s="38" t="n">
        <v>6930</v>
      </c>
      <c r="T15" s="38"/>
      <c r="U15" s="38"/>
      <c r="V15" s="38"/>
      <c r="W15" s="38" t="n">
        <v>720</v>
      </c>
      <c r="X15" s="38" t="n">
        <v>720</v>
      </c>
      <c r="Y15" s="38"/>
      <c r="Z15" s="38"/>
      <c r="AA15" s="38"/>
      <c r="AB15" s="38"/>
      <c r="AC15" s="38"/>
      <c r="AD15" s="38"/>
      <c r="AE15" s="38"/>
      <c r="AF15" s="38"/>
      <c r="AG15" s="38"/>
      <c r="AH15" s="38"/>
      <c r="AI15" s="38"/>
      <c r="AJ15" s="38"/>
      <c r="AK15" s="38"/>
      <c r="AL15" s="38"/>
      <c r="AM15" s="38"/>
      <c r="AN15" s="38"/>
      <c r="AO15" s="38"/>
      <c r="AP15" s="38"/>
      <c r="AQ15" s="38"/>
      <c r="AR15" s="38"/>
      <c r="AS15" s="38"/>
      <c r="AT15" s="38"/>
      <c r="AU15" s="38"/>
      <c r="AV15" s="38"/>
      <c r="AW15" s="38"/>
      <c r="AX15" s="38"/>
      <c r="AY15" s="38"/>
      <c r="AZ15" s="38"/>
      <c r="BA15" s="39" t="n">
        <f aca="false">C15+H15+M15+R15+W15+AB15+AG15+AL15+AQ15+AV15</f>
        <v>3690</v>
      </c>
      <c r="BB15" s="39" t="n">
        <f aca="false">D15+I15+N15+S15+X15+AC15+AH15+AM15+AR15+AW15</f>
        <v>7650</v>
      </c>
      <c r="BC15" s="39" t="n">
        <f aca="false">E15+J15+O15+T15+Y15+AD15+AI15+AN15+AS15+AX15</f>
        <v>0</v>
      </c>
      <c r="BD15" s="39" t="n">
        <f aca="false">F15+K15+P15+U15+Z15+AE15+AJ15+AO15+AT15+AY15</f>
        <v>0</v>
      </c>
      <c r="BE15" s="39" t="n">
        <f aca="false">G15+L15+Q15+V15+AA15+AF15+AK15+AP15+AU15+AZ15</f>
        <v>0</v>
      </c>
      <c r="BF15" s="40" t="n">
        <f aca="false">SUM(BA15:BE15)</f>
        <v>11340</v>
      </c>
      <c r="BG15" s="14"/>
    </row>
    <row r="16" customFormat="false" ht="12.75" hidden="false" customHeight="true" outlineLevel="0" collapsed="false">
      <c r="B16" s="36" t="s">
        <v>48</v>
      </c>
      <c r="C16" s="43" t="n">
        <v>419.7</v>
      </c>
      <c r="D16" s="44" t="n">
        <v>559.6</v>
      </c>
      <c r="E16" s="44"/>
      <c r="F16" s="44"/>
      <c r="G16" s="44"/>
      <c r="H16" s="44" t="n">
        <v>2378.3</v>
      </c>
      <c r="I16" s="44" t="n">
        <v>1678.8</v>
      </c>
      <c r="J16" s="44"/>
      <c r="K16" s="44"/>
      <c r="L16" s="44"/>
      <c r="M16" s="44" t="n">
        <v>1175.16</v>
      </c>
      <c r="N16" s="44" t="n">
        <v>279.8</v>
      </c>
      <c r="O16" s="44"/>
      <c r="P16" s="44"/>
      <c r="Q16" s="44"/>
      <c r="R16" s="44" t="n">
        <v>1678.8</v>
      </c>
      <c r="S16" s="44" t="n">
        <v>1678.8</v>
      </c>
      <c r="T16" s="44"/>
      <c r="U16" s="44"/>
      <c r="V16" s="44"/>
      <c r="W16" s="44" t="n">
        <v>2518.2</v>
      </c>
      <c r="X16" s="44" t="n">
        <v>559.6</v>
      </c>
      <c r="Y16" s="44"/>
      <c r="Z16" s="44"/>
      <c r="AA16" s="44"/>
      <c r="AB16" s="44" t="n">
        <v>559.6</v>
      </c>
      <c r="AC16" s="44" t="n">
        <v>1399</v>
      </c>
      <c r="AD16" s="44"/>
      <c r="AE16" s="44"/>
      <c r="AF16" s="44"/>
      <c r="AG16" s="44" t="n">
        <v>279.8</v>
      </c>
      <c r="AH16" s="44" t="n">
        <v>279.8</v>
      </c>
      <c r="AI16" s="44"/>
      <c r="AJ16" s="44"/>
      <c r="AK16" s="44"/>
      <c r="AL16" s="44"/>
      <c r="AM16" s="44"/>
      <c r="AN16" s="44"/>
      <c r="AO16" s="44"/>
      <c r="AP16" s="44"/>
      <c r="AQ16" s="44"/>
      <c r="AR16" s="44"/>
      <c r="AS16" s="44"/>
      <c r="AT16" s="44"/>
      <c r="AU16" s="44"/>
      <c r="AV16" s="44"/>
      <c r="AW16" s="44"/>
      <c r="AX16" s="44"/>
      <c r="AY16" s="44"/>
      <c r="AZ16" s="44"/>
      <c r="BA16" s="39" t="n">
        <f aca="false">C16+H16+M16+R16+W16+AB16+AG16+AL16+AQ16+AV16</f>
        <v>9009.56</v>
      </c>
      <c r="BB16" s="39" t="n">
        <f aca="false">D16+I16+N16+S16+X16+AC16+AH16+AM16+AR16+AW16</f>
        <v>6435.4</v>
      </c>
      <c r="BC16" s="39" t="n">
        <f aca="false">E16+J16+O16+T16+Y16+AD16+AI16+AN16+AS16+AX16</f>
        <v>0</v>
      </c>
      <c r="BD16" s="39" t="n">
        <f aca="false">F16+K16+P16+U16+Z16+AE16+AJ16+AO16+AT16+AY16</f>
        <v>0</v>
      </c>
      <c r="BE16" s="39" t="n">
        <f aca="false">G16+L16+Q16+V16+AA16+AF16+AK16+AP16+AU16+AZ16</f>
        <v>0</v>
      </c>
      <c r="BF16" s="40" t="n">
        <f aca="false">SUM(BA16:BE16)</f>
        <v>15444.96</v>
      </c>
      <c r="BG16" s="14"/>
    </row>
    <row r="17" customFormat="false" ht="12.75" hidden="false" customHeight="true" outlineLevel="0" collapsed="false">
      <c r="B17" s="36" t="s">
        <v>49</v>
      </c>
      <c r="C17" s="43" t="n">
        <v>136.86</v>
      </c>
      <c r="D17" s="44" t="n">
        <v>136.86</v>
      </c>
      <c r="E17" s="44"/>
      <c r="F17" s="44"/>
      <c r="G17" s="44"/>
      <c r="H17" s="44" t="n">
        <v>7369.1</v>
      </c>
      <c r="I17" s="44" t="n">
        <v>2922.7</v>
      </c>
      <c r="J17" s="44"/>
      <c r="K17" s="44"/>
      <c r="L17" s="44"/>
      <c r="M17" s="43" t="n">
        <v>1803.5</v>
      </c>
      <c r="N17" s="44" t="n">
        <v>273.72</v>
      </c>
      <c r="O17" s="44"/>
      <c r="P17" s="44"/>
      <c r="Q17" s="44"/>
      <c r="R17" s="43" t="n">
        <v>2086.4</v>
      </c>
      <c r="S17" s="44" t="n">
        <v>2086.4</v>
      </c>
      <c r="T17" s="44"/>
      <c r="U17" s="44"/>
      <c r="V17" s="44"/>
      <c r="W17" s="44" t="n">
        <v>5194.6</v>
      </c>
      <c r="X17" s="44" t="n">
        <v>1338.2</v>
      </c>
      <c r="Y17" s="44"/>
      <c r="Z17" s="44"/>
      <c r="AA17" s="44"/>
      <c r="AB17" s="44" t="n">
        <v>1338.2</v>
      </c>
      <c r="AC17" s="44" t="n">
        <v>2676.4</v>
      </c>
      <c r="AD17" s="44"/>
      <c r="AE17" s="44"/>
      <c r="AF17" s="44"/>
      <c r="AG17" s="44" t="n">
        <v>342.15</v>
      </c>
      <c r="AH17" s="44" t="n">
        <v>342.15</v>
      </c>
      <c r="AI17" s="44"/>
      <c r="AJ17" s="44"/>
      <c r="AK17" s="44"/>
      <c r="AL17" s="44"/>
      <c r="AM17" s="44"/>
      <c r="AN17" s="44"/>
      <c r="AO17" s="44"/>
      <c r="AP17" s="44"/>
      <c r="AQ17" s="44"/>
      <c r="AR17" s="44"/>
      <c r="AS17" s="44"/>
      <c r="AT17" s="44"/>
      <c r="AU17" s="44"/>
      <c r="AV17" s="44"/>
      <c r="AW17" s="44"/>
      <c r="AX17" s="44"/>
      <c r="AY17" s="44"/>
      <c r="AZ17" s="44"/>
      <c r="BA17" s="39" t="n">
        <f aca="false">C17+H17+M17+R17+W17+AB17+AG17+AL17+AQ17+AV17</f>
        <v>18270.81</v>
      </c>
      <c r="BB17" s="39" t="n">
        <f aca="false">D17+I17+N17+S17+X17+AC17+AH17+AM17+AR17+AW17</f>
        <v>9776.43</v>
      </c>
      <c r="BC17" s="39" t="n">
        <f aca="false">E17+J17+O17+T17+Y17+AD17+AI17+AN17+AS17+AX17</f>
        <v>0</v>
      </c>
      <c r="BD17" s="39" t="n">
        <f aca="false">F17+K17+P17+U17+Z17+AE17+AJ17+AO17+AT17+AY17</f>
        <v>0</v>
      </c>
      <c r="BE17" s="39" t="n">
        <f aca="false">G17+L17+Q17+V17+AA17+AF17+AK17+AP17+AU17+AZ17</f>
        <v>0</v>
      </c>
      <c r="BF17" s="40" t="n">
        <f aca="false">SUM(BA17:BE17)</f>
        <v>28047.24</v>
      </c>
      <c r="BG17" s="14"/>
    </row>
    <row r="18" customFormat="false" ht="12.75" hidden="false" customHeight="true" outlineLevel="0" collapsed="false">
      <c r="B18" s="36" t="s">
        <v>50</v>
      </c>
      <c r="C18" s="43" t="n">
        <v>768.63</v>
      </c>
      <c r="D18" s="44" t="n">
        <v>768.63</v>
      </c>
      <c r="E18" s="44"/>
      <c r="F18" s="44"/>
      <c r="G18" s="44"/>
      <c r="H18" s="44" t="n">
        <v>5498.89</v>
      </c>
      <c r="I18" s="44" t="n">
        <v>5498.89</v>
      </c>
      <c r="J18" s="44"/>
      <c r="K18" s="44"/>
      <c r="L18" s="44"/>
      <c r="M18" s="43" t="n">
        <v>690.19</v>
      </c>
      <c r="N18" s="44" t="n">
        <v>690.19</v>
      </c>
      <c r="O18" s="44"/>
      <c r="P18" s="44"/>
      <c r="Q18" s="44"/>
      <c r="R18" s="43" t="n">
        <v>3015.61</v>
      </c>
      <c r="S18" s="44" t="n">
        <v>3015.61</v>
      </c>
      <c r="T18" s="44"/>
      <c r="U18" s="44"/>
      <c r="V18" s="44"/>
      <c r="W18" s="44" t="n">
        <v>2064.45</v>
      </c>
      <c r="X18" s="44" t="n">
        <v>2064.45</v>
      </c>
      <c r="Y18" s="44"/>
      <c r="Z18" s="44"/>
      <c r="AA18" s="44"/>
      <c r="AB18" s="44" t="n">
        <v>1112.79</v>
      </c>
      <c r="AC18" s="44" t="n">
        <v>1112.79</v>
      </c>
      <c r="AD18" s="44"/>
      <c r="AE18" s="44"/>
      <c r="AF18" s="44"/>
      <c r="AG18" s="44" t="n">
        <v>111.96</v>
      </c>
      <c r="AH18" s="44" t="n">
        <v>111.96</v>
      </c>
      <c r="AI18" s="44"/>
      <c r="AJ18" s="44"/>
      <c r="AK18" s="44"/>
      <c r="AL18" s="44"/>
      <c r="AM18" s="44"/>
      <c r="AN18" s="44"/>
      <c r="AO18" s="44"/>
      <c r="AP18" s="44"/>
      <c r="AQ18" s="44"/>
      <c r="AR18" s="44"/>
      <c r="AS18" s="44"/>
      <c r="AT18" s="44"/>
      <c r="AU18" s="44"/>
      <c r="AV18" s="44"/>
      <c r="AW18" s="44"/>
      <c r="AX18" s="44"/>
      <c r="AY18" s="44"/>
      <c r="AZ18" s="44"/>
      <c r="BA18" s="39" t="n">
        <f aca="false">C18+H18+M18+R18+W18+AB18+AG18+AL18+AQ18+AV18</f>
        <v>13262.52</v>
      </c>
      <c r="BB18" s="39" t="n">
        <f aca="false">D18+I18+N18+S18+X18+AC18+AH18+AM18+AR18+AW18</f>
        <v>13262.52</v>
      </c>
      <c r="BC18" s="39" t="n">
        <f aca="false">E18+J18+O18+T18+Y18+AD18+AI18+AN18+AS18+AX18</f>
        <v>0</v>
      </c>
      <c r="BD18" s="39" t="n">
        <f aca="false">F18+K18+P18+U18+Z18+AE18+AJ18+AO18+AT18+AY18</f>
        <v>0</v>
      </c>
      <c r="BE18" s="39" t="n">
        <f aca="false">G18+L18+Q18+V18+AA18+AF18+AK18+AP18+AU18+AZ18</f>
        <v>0</v>
      </c>
      <c r="BF18" s="40" t="n">
        <f aca="false">SUM(BA18:BE18)</f>
        <v>26525.04</v>
      </c>
      <c r="BG18" s="14"/>
    </row>
    <row r="19" customFormat="false" ht="12.75" hidden="false" customHeight="true" outlineLevel="0" collapsed="false">
      <c r="B19" s="36" t="s">
        <v>51</v>
      </c>
      <c r="C19" s="43" t="n">
        <v>1382.2</v>
      </c>
      <c r="D19" s="44" t="n">
        <v>1382.2</v>
      </c>
      <c r="E19" s="44"/>
      <c r="F19" s="44"/>
      <c r="G19" s="44"/>
      <c r="H19" s="44" t="n">
        <v>7513.22</v>
      </c>
      <c r="I19" s="44" t="n">
        <v>4045.58</v>
      </c>
      <c r="J19" s="44"/>
      <c r="K19" s="44"/>
      <c r="L19" s="44"/>
      <c r="M19" s="44" t="n">
        <v>5947.05</v>
      </c>
      <c r="N19" s="44" t="n">
        <v>1982.35</v>
      </c>
      <c r="O19" s="44"/>
      <c r="P19" s="44"/>
      <c r="Q19" s="44"/>
      <c r="R19" s="44" t="n">
        <v>5498.08</v>
      </c>
      <c r="S19" s="44" t="n">
        <v>10210.72</v>
      </c>
      <c r="T19" s="44"/>
      <c r="U19" s="44"/>
      <c r="V19" s="44"/>
      <c r="W19" s="44" t="n">
        <v>9313.72</v>
      </c>
      <c r="X19" s="44" t="n">
        <v>5015.08</v>
      </c>
      <c r="Y19" s="44"/>
      <c r="Z19" s="44"/>
      <c r="AA19" s="44"/>
      <c r="AB19" s="44" t="n">
        <v>3179.28</v>
      </c>
      <c r="AC19" s="44" t="n">
        <v>7418.32</v>
      </c>
      <c r="AD19" s="44"/>
      <c r="AE19" s="44"/>
      <c r="AF19" s="44"/>
      <c r="AG19" s="44" t="n">
        <v>415.8</v>
      </c>
      <c r="AH19" s="44" t="n">
        <v>415.8</v>
      </c>
      <c r="AI19" s="44"/>
      <c r="AJ19" s="44"/>
      <c r="AK19" s="44"/>
      <c r="AL19" s="44"/>
      <c r="AM19" s="44"/>
      <c r="AN19" s="44"/>
      <c r="AO19" s="44"/>
      <c r="AP19" s="44"/>
      <c r="AQ19" s="44"/>
      <c r="AR19" s="44"/>
      <c r="AS19" s="44"/>
      <c r="AT19" s="44"/>
      <c r="AU19" s="44"/>
      <c r="AV19" s="44"/>
      <c r="AW19" s="44"/>
      <c r="AX19" s="44"/>
      <c r="AY19" s="44"/>
      <c r="AZ19" s="44"/>
      <c r="BA19" s="39" t="n">
        <f aca="false">C19+H19+M19+R19+W19+AB19+AG19+AL19+AQ19+AV19</f>
        <v>33249.35</v>
      </c>
      <c r="BB19" s="39" t="n">
        <f aca="false">D19+I19+N19+S19+X19+AC19+AH19+AM19+AR19+AW19</f>
        <v>30470.05</v>
      </c>
      <c r="BC19" s="39" t="n">
        <f aca="false">E19+J19+O19+T19+Y19+AD19+AI19+AN19+AS19+AX19</f>
        <v>0</v>
      </c>
      <c r="BD19" s="39" t="n">
        <f aca="false">F19+K19+P19+U19+Z19+AE19+AJ19+AO19+AT19+AY19</f>
        <v>0</v>
      </c>
      <c r="BE19" s="39" t="n">
        <f aca="false">G19+L19+Q19+V19+AA19+AF19+AK19+AP19+AU19+AZ19</f>
        <v>0</v>
      </c>
      <c r="BF19" s="40" t="n">
        <f aca="false">SUM(BA19:BE19)</f>
        <v>63719.4</v>
      </c>
      <c r="BG19" s="14"/>
    </row>
    <row r="20" customFormat="false" ht="12.75" hidden="false" customHeight="true" outlineLevel="0" collapsed="false">
      <c r="B20" s="36" t="s">
        <v>52</v>
      </c>
      <c r="C20" s="43" t="n">
        <v>61.32</v>
      </c>
      <c r="D20" s="44" t="n">
        <v>61.32</v>
      </c>
      <c r="E20" s="44"/>
      <c r="F20" s="44"/>
      <c r="G20" s="44"/>
      <c r="H20" s="44" t="n">
        <v>438.68</v>
      </c>
      <c r="I20" s="44" t="n">
        <v>438.68</v>
      </c>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44"/>
      <c r="AO20" s="44"/>
      <c r="AP20" s="44"/>
      <c r="AQ20" s="44"/>
      <c r="AR20" s="44"/>
      <c r="AS20" s="44"/>
      <c r="AT20" s="44"/>
      <c r="AU20" s="44"/>
      <c r="AV20" s="44"/>
      <c r="AW20" s="44"/>
      <c r="AX20" s="44"/>
      <c r="AY20" s="44"/>
      <c r="AZ20" s="44"/>
      <c r="BA20" s="39" t="n">
        <f aca="false">C20+H20+M20+R20+W20+AB20+AG20+AL20+AQ20+AV20</f>
        <v>500</v>
      </c>
      <c r="BB20" s="39" t="n">
        <f aca="false">D20+I20+N20+S20+X20+AC20+AH20+AM20+AR20+AW20</f>
        <v>500</v>
      </c>
      <c r="BC20" s="39" t="n">
        <f aca="false">E20+J20+O20+T20+Y20+AD20+AI20+AN20+AS20+AX20</f>
        <v>0</v>
      </c>
      <c r="BD20" s="39" t="n">
        <f aca="false">F20+K20+P20+U20+Z20+AE20+AJ20+AO20+AT20+AY20</f>
        <v>0</v>
      </c>
      <c r="BE20" s="39" t="n">
        <f aca="false">G20+L20+Q20+V20+AA20+AF20+AK20+AP20+AU20+AZ20</f>
        <v>0</v>
      </c>
      <c r="BF20" s="40" t="n">
        <f aca="false">SUM(BA20:BE20)</f>
        <v>1000</v>
      </c>
      <c r="BG20" s="14"/>
    </row>
    <row r="21" customFormat="false" ht="12.75" hidden="false" customHeight="true" outlineLevel="0" collapsed="false">
      <c r="B21" s="36" t="s">
        <v>53</v>
      </c>
      <c r="C21" s="43" t="n">
        <v>51.51</v>
      </c>
      <c r="D21" s="44" t="n">
        <v>77.26</v>
      </c>
      <c r="E21" s="44"/>
      <c r="F21" s="44"/>
      <c r="G21" s="44"/>
      <c r="H21" s="44" t="n">
        <v>368.49</v>
      </c>
      <c r="I21" s="44" t="n">
        <v>552.74</v>
      </c>
      <c r="J21" s="44"/>
      <c r="K21" s="44"/>
      <c r="L21" s="44"/>
      <c r="M21" s="44" t="n">
        <v>69.07</v>
      </c>
      <c r="N21" s="44" t="n">
        <v>103.6</v>
      </c>
      <c r="O21" s="44"/>
      <c r="P21" s="44"/>
      <c r="Q21" s="44"/>
      <c r="R21" s="44" t="n">
        <v>301.78</v>
      </c>
      <c r="S21" s="44" t="n">
        <v>452.66</v>
      </c>
      <c r="T21" s="44"/>
      <c r="U21" s="44"/>
      <c r="V21" s="44"/>
      <c r="W21" s="44" t="n">
        <v>206.59</v>
      </c>
      <c r="X21" s="44" t="n">
        <v>309.89</v>
      </c>
      <c r="Y21" s="44"/>
      <c r="Z21" s="44"/>
      <c r="AA21" s="44"/>
      <c r="AB21" s="44" t="n">
        <v>111.36</v>
      </c>
      <c r="AC21" s="44" t="n">
        <v>167.04</v>
      </c>
      <c r="AD21" s="44"/>
      <c r="AE21" s="44"/>
      <c r="AF21" s="44"/>
      <c r="AG21" s="44" t="n">
        <v>11.2</v>
      </c>
      <c r="AH21" s="44" t="n">
        <v>16.81</v>
      </c>
      <c r="AI21" s="44"/>
      <c r="AJ21" s="44"/>
      <c r="AK21" s="44"/>
      <c r="AL21" s="44"/>
      <c r="AM21" s="44"/>
      <c r="AN21" s="44"/>
      <c r="AO21" s="44"/>
      <c r="AP21" s="44"/>
      <c r="AQ21" s="44"/>
      <c r="AR21" s="44"/>
      <c r="AS21" s="44"/>
      <c r="AT21" s="44"/>
      <c r="AU21" s="44"/>
      <c r="AV21" s="44"/>
      <c r="AW21" s="44"/>
      <c r="AX21" s="44"/>
      <c r="AY21" s="44"/>
      <c r="AZ21" s="44"/>
      <c r="BA21" s="39" t="n">
        <f aca="false">C21+H21+M21+R21+W21+AB21+AG21+AL21+AQ21+AV21</f>
        <v>1120</v>
      </c>
      <c r="BB21" s="39" t="n">
        <f aca="false">D21+I21+N21+S21+X21+AC21+AH21+AM21+AR21+AW21</f>
        <v>1680</v>
      </c>
      <c r="BC21" s="39" t="n">
        <f aca="false">E21+J21+O21+T21+Y21+AD21+AI21+AN21+AS21+AX21</f>
        <v>0</v>
      </c>
      <c r="BD21" s="39" t="n">
        <f aca="false">F21+K21+P21+U21+Z21+AE21+AJ21+AO21+AT21+AY21</f>
        <v>0</v>
      </c>
      <c r="BE21" s="39" t="n">
        <f aca="false">G21+L21+Q21+V21+AA21+AF21+AK21+AP21+AU21+AZ21</f>
        <v>0</v>
      </c>
      <c r="BF21" s="40" t="n">
        <f aca="false">SUM(BA21:BE21)</f>
        <v>2800</v>
      </c>
      <c r="BG21" s="14"/>
    </row>
    <row r="22" customFormat="false" ht="12.75" hidden="false" customHeight="true" outlineLevel="0" collapsed="false">
      <c r="B22" s="36" t="s">
        <v>54</v>
      </c>
      <c r="C22" s="43" t="n">
        <v>24.53</v>
      </c>
      <c r="D22" s="44" t="n">
        <v>24.53</v>
      </c>
      <c r="E22" s="44"/>
      <c r="F22" s="44"/>
      <c r="G22" s="44"/>
      <c r="H22" s="44" t="n">
        <v>175.47</v>
      </c>
      <c r="I22" s="44" t="n">
        <v>175.47</v>
      </c>
      <c r="J22" s="44"/>
      <c r="K22" s="44"/>
      <c r="L22" s="44"/>
      <c r="M22" s="44" t="n">
        <v>29.6</v>
      </c>
      <c r="N22" s="44" t="n">
        <v>29.6</v>
      </c>
      <c r="O22" s="44"/>
      <c r="P22" s="44"/>
      <c r="Q22" s="44"/>
      <c r="R22" s="44" t="n">
        <v>129.33</v>
      </c>
      <c r="S22" s="44" t="n">
        <v>129.33</v>
      </c>
      <c r="T22" s="44"/>
      <c r="U22" s="44"/>
      <c r="V22" s="44"/>
      <c r="W22" s="44" t="n">
        <v>88.54</v>
      </c>
      <c r="X22" s="44" t="n">
        <v>88.54</v>
      </c>
      <c r="Y22" s="44"/>
      <c r="Z22" s="44"/>
      <c r="AA22" s="44"/>
      <c r="AB22" s="44" t="n">
        <v>47.73</v>
      </c>
      <c r="AC22" s="44" t="n">
        <v>47.73</v>
      </c>
      <c r="AD22" s="44"/>
      <c r="AE22" s="44"/>
      <c r="AF22" s="44"/>
      <c r="AG22" s="44" t="n">
        <v>4.8</v>
      </c>
      <c r="AH22" s="44" t="n">
        <v>4.8</v>
      </c>
      <c r="AI22" s="44"/>
      <c r="AJ22" s="44"/>
      <c r="AK22" s="44"/>
      <c r="AL22" s="44"/>
      <c r="AM22" s="44"/>
      <c r="AN22" s="44"/>
      <c r="AO22" s="44"/>
      <c r="AP22" s="44"/>
      <c r="AQ22" s="44"/>
      <c r="AR22" s="44"/>
      <c r="AS22" s="44"/>
      <c r="AT22" s="44"/>
      <c r="AU22" s="44"/>
      <c r="AV22" s="44"/>
      <c r="AW22" s="44"/>
      <c r="AX22" s="44"/>
      <c r="AY22" s="44"/>
      <c r="AZ22" s="44"/>
      <c r="BA22" s="39" t="n">
        <f aca="false">C22+H22+M22+R22+W22+AB22+AG22+AL22+AQ22+AV22</f>
        <v>500</v>
      </c>
      <c r="BB22" s="39" t="n">
        <f aca="false">D22+I22+N22+S22+X22+AC22+AH22+AM22+AR22+AW22</f>
        <v>500</v>
      </c>
      <c r="BC22" s="39" t="n">
        <f aca="false">E22+J22+O22+T22+Y22+AD22+AI22+AN22+AS22+AX22</f>
        <v>0</v>
      </c>
      <c r="BD22" s="39" t="n">
        <f aca="false">F22+K22+P22+U22+Z22+AE22+AJ22+AO22+AT22+AY22</f>
        <v>0</v>
      </c>
      <c r="BE22" s="39" t="n">
        <f aca="false">G22+L22+Q22+V22+AA22+AF22+AK22+AP22+AU22+AZ22</f>
        <v>0</v>
      </c>
      <c r="BF22" s="40" t="n">
        <f aca="false">SUM(BA22:BE22)</f>
        <v>1000</v>
      </c>
      <c r="BG22" s="14"/>
    </row>
    <row r="23" customFormat="false" ht="12.75" hidden="false" customHeight="true" outlineLevel="0" collapsed="false">
      <c r="B23" s="36" t="s">
        <v>55</v>
      </c>
      <c r="C23" s="43"/>
      <c r="D23" s="44"/>
      <c r="E23" s="44"/>
      <c r="F23" s="44"/>
      <c r="G23" s="44"/>
      <c r="H23" s="44"/>
      <c r="I23" s="44"/>
      <c r="J23" s="44"/>
      <c r="K23" s="44"/>
      <c r="L23" s="44"/>
      <c r="M23" s="44" t="n">
        <v>138.14</v>
      </c>
      <c r="N23" s="44" t="n">
        <v>138.14</v>
      </c>
      <c r="O23" s="44"/>
      <c r="P23" s="44"/>
      <c r="Q23" s="44"/>
      <c r="R23" s="44" t="n">
        <v>603.55</v>
      </c>
      <c r="S23" s="44" t="n">
        <v>603.55</v>
      </c>
      <c r="T23" s="44"/>
      <c r="U23" s="44"/>
      <c r="V23" s="44"/>
      <c r="W23" s="44" t="n">
        <v>413.18</v>
      </c>
      <c r="X23" s="44" t="n">
        <v>413.18</v>
      </c>
      <c r="Y23" s="44"/>
      <c r="Z23" s="44"/>
      <c r="AA23" s="44"/>
      <c r="AB23" s="44" t="n">
        <v>222.72</v>
      </c>
      <c r="AC23" s="44" t="n">
        <v>222.72</v>
      </c>
      <c r="AD23" s="44"/>
      <c r="AE23" s="44"/>
      <c r="AF23" s="44"/>
      <c r="AG23" s="44" t="n">
        <v>22.41</v>
      </c>
      <c r="AH23" s="44" t="n">
        <v>22.41</v>
      </c>
      <c r="AI23" s="44"/>
      <c r="AJ23" s="44"/>
      <c r="AK23" s="44"/>
      <c r="AL23" s="44"/>
      <c r="AM23" s="44"/>
      <c r="AN23" s="44"/>
      <c r="AO23" s="44"/>
      <c r="AP23" s="44"/>
      <c r="AQ23" s="44"/>
      <c r="AR23" s="44"/>
      <c r="AS23" s="44"/>
      <c r="AT23" s="44"/>
      <c r="AU23" s="44"/>
      <c r="AV23" s="44"/>
      <c r="AW23" s="44"/>
      <c r="AX23" s="44"/>
      <c r="AY23" s="44"/>
      <c r="AZ23" s="44"/>
      <c r="BA23" s="39" t="n">
        <f aca="false">C23+H23+M23+R23+W23+AB23+AG23+AL23+AQ23+AV23</f>
        <v>1400</v>
      </c>
      <c r="BB23" s="39" t="n">
        <f aca="false">D23+I23+N23+S23+X23+AC23+AH23+AM23+AR23+AW23</f>
        <v>1400</v>
      </c>
      <c r="BC23" s="39" t="n">
        <f aca="false">E23+J23+O23+T23+Y23+AD23+AI23+AN23+AS23+AX23</f>
        <v>0</v>
      </c>
      <c r="BD23" s="39" t="n">
        <f aca="false">F23+K23+P23+U23+Z23+AE23+AJ23+AO23+AT23+AY23</f>
        <v>0</v>
      </c>
      <c r="BE23" s="39" t="n">
        <f aca="false">G23+L23+Q23+V23+AA23+AF23+AK23+AP23+AU23+AZ23</f>
        <v>0</v>
      </c>
      <c r="BF23" s="40" t="n">
        <f aca="false">SUM(BA23:BE23)</f>
        <v>2800</v>
      </c>
      <c r="BG23" s="14"/>
    </row>
    <row r="24" customFormat="false" ht="12.75" hidden="false" customHeight="true" outlineLevel="0" collapsed="false">
      <c r="B24" s="36" t="s">
        <v>56</v>
      </c>
      <c r="C24" s="43" t="n">
        <v>91.98</v>
      </c>
      <c r="D24" s="44" t="n">
        <v>91.98</v>
      </c>
      <c r="E24" s="44"/>
      <c r="F24" s="44"/>
      <c r="G24" s="44"/>
      <c r="H24" s="44" t="n">
        <v>658.02</v>
      </c>
      <c r="I24" s="44" t="n">
        <v>658.02</v>
      </c>
      <c r="J24" s="44"/>
      <c r="K24" s="44"/>
      <c r="L24" s="44"/>
      <c r="M24" s="44" t="n">
        <v>172.67</v>
      </c>
      <c r="N24" s="44" t="n">
        <v>172.67</v>
      </c>
      <c r="O24" s="44"/>
      <c r="P24" s="44"/>
      <c r="Q24" s="44"/>
      <c r="R24" s="44" t="n">
        <v>754.44</v>
      </c>
      <c r="S24" s="44" t="n">
        <v>754.44</v>
      </c>
      <c r="T24" s="44"/>
      <c r="U24" s="44"/>
      <c r="V24" s="44"/>
      <c r="W24" s="44" t="n">
        <v>516.48</v>
      </c>
      <c r="X24" s="44" t="n">
        <v>516.48</v>
      </c>
      <c r="Y24" s="44"/>
      <c r="Z24" s="44"/>
      <c r="AA24" s="44"/>
      <c r="AB24" s="44" t="n">
        <v>278.4</v>
      </c>
      <c r="AC24" s="44" t="n">
        <v>278.4</v>
      </c>
      <c r="AD24" s="44"/>
      <c r="AE24" s="44"/>
      <c r="AF24" s="44"/>
      <c r="AG24" s="44" t="n">
        <v>28.01</v>
      </c>
      <c r="AH24" s="44" t="n">
        <v>28.01</v>
      </c>
      <c r="AI24" s="44"/>
      <c r="AJ24" s="44"/>
      <c r="AK24" s="44"/>
      <c r="AL24" s="44"/>
      <c r="AM24" s="44"/>
      <c r="AN24" s="44"/>
      <c r="AO24" s="44"/>
      <c r="AP24" s="44"/>
      <c r="AQ24" s="44"/>
      <c r="AR24" s="44"/>
      <c r="AS24" s="44"/>
      <c r="AT24" s="44"/>
      <c r="AU24" s="44"/>
      <c r="AV24" s="44"/>
      <c r="AW24" s="44"/>
      <c r="AX24" s="44"/>
      <c r="AY24" s="44"/>
      <c r="AZ24" s="44"/>
      <c r="BA24" s="39" t="n">
        <f aca="false">C24+H24+M24+R24+W24+AB24+AG24+AL24+AQ24+AV24</f>
        <v>2500</v>
      </c>
      <c r="BB24" s="39" t="n">
        <f aca="false">D24+I24+N24+S24+X24+AC24+AH24+AM24+AR24+AW24</f>
        <v>2500</v>
      </c>
      <c r="BC24" s="39" t="n">
        <f aca="false">E24+J24+O24+T24+Y24+AD24+AI24+AN24+AS24+AX24</f>
        <v>0</v>
      </c>
      <c r="BD24" s="39" t="n">
        <f aca="false">F24+K24+P24+U24+Z24+AE24+AJ24+AO24+AT24+AY24</f>
        <v>0</v>
      </c>
      <c r="BE24" s="39" t="n">
        <f aca="false">G24+L24+Q24+V24+AA24+AF24+AK24+AP24+AU24+AZ24</f>
        <v>0</v>
      </c>
      <c r="BF24" s="40" t="n">
        <f aca="false">SUM(BA24:BE24)</f>
        <v>5000</v>
      </c>
      <c r="BG24" s="14"/>
    </row>
    <row r="25" customFormat="false" ht="12.75" hidden="false" customHeight="true" outlineLevel="0" collapsed="false">
      <c r="B25" s="36" t="s">
        <v>57</v>
      </c>
      <c r="C25" s="43" t="n">
        <v>30.66</v>
      </c>
      <c r="D25" s="44" t="n">
        <v>30.66</v>
      </c>
      <c r="E25" s="44"/>
      <c r="F25" s="44"/>
      <c r="G25" s="44"/>
      <c r="H25" s="44" t="n">
        <v>219.34</v>
      </c>
      <c r="I25" s="44" t="n">
        <v>219.34</v>
      </c>
      <c r="J25" s="44"/>
      <c r="K25" s="44"/>
      <c r="L25" s="44"/>
      <c r="M25" s="44" t="n">
        <v>49.33</v>
      </c>
      <c r="N25" s="44" t="n">
        <v>49.33</v>
      </c>
      <c r="O25" s="44"/>
      <c r="P25" s="44"/>
      <c r="Q25" s="44"/>
      <c r="R25" s="44" t="n">
        <v>215.55</v>
      </c>
      <c r="S25" s="44" t="n">
        <v>215.55</v>
      </c>
      <c r="T25" s="44"/>
      <c r="U25" s="44"/>
      <c r="V25" s="44"/>
      <c r="W25" s="44" t="n">
        <v>147.57</v>
      </c>
      <c r="X25" s="44" t="n">
        <v>147.57</v>
      </c>
      <c r="Y25" s="44"/>
      <c r="Z25" s="44"/>
      <c r="AA25" s="44"/>
      <c r="AB25" s="44" t="n">
        <v>79.54</v>
      </c>
      <c r="AC25" s="44" t="n">
        <v>79.54</v>
      </c>
      <c r="AD25" s="44"/>
      <c r="AE25" s="44"/>
      <c r="AF25" s="44"/>
      <c r="AG25" s="44" t="n">
        <v>8</v>
      </c>
      <c r="AH25" s="44" t="n">
        <v>8</v>
      </c>
      <c r="AI25" s="44"/>
      <c r="AJ25" s="44"/>
      <c r="AK25" s="44"/>
      <c r="AL25" s="44"/>
      <c r="AM25" s="44"/>
      <c r="AN25" s="44"/>
      <c r="AO25" s="44"/>
      <c r="AP25" s="44"/>
      <c r="AQ25" s="44"/>
      <c r="AR25" s="44"/>
      <c r="AS25" s="44"/>
      <c r="AT25" s="44"/>
      <c r="AU25" s="44"/>
      <c r="AV25" s="44"/>
      <c r="AW25" s="44"/>
      <c r="AX25" s="44"/>
      <c r="AY25" s="44"/>
      <c r="AZ25" s="44"/>
      <c r="BA25" s="39" t="n">
        <f aca="false">C25+H25+M25+R25+W25+AB25+AG25+AL25+AQ25+AV25</f>
        <v>749.99</v>
      </c>
      <c r="BB25" s="39" t="n">
        <f aca="false">D25+I25+N25+S25+X25+AC25+AH25+AM25+AR25+AW25</f>
        <v>749.99</v>
      </c>
      <c r="BC25" s="39" t="n">
        <f aca="false">E25+J25+O25+T25+Y25+AD25+AI25+AN25+AS25+AX25</f>
        <v>0</v>
      </c>
      <c r="BD25" s="39" t="n">
        <f aca="false">F25+K25+P25+U25+Z25+AE25+AJ25+AO25+AT25+AY25</f>
        <v>0</v>
      </c>
      <c r="BE25" s="39" t="n">
        <f aca="false">G25+L25+Q25+V25+AA25+AF25+AK25+AP25+AU25+AZ25</f>
        <v>0</v>
      </c>
      <c r="BF25" s="40" t="n">
        <f aca="false">SUM(BA25:BE25)</f>
        <v>1499.98</v>
      </c>
      <c r="BG25" s="14"/>
    </row>
    <row r="26" customFormat="false" ht="12.75" hidden="false" customHeight="true" outlineLevel="0" collapsed="false">
      <c r="B26" s="36" t="s">
        <v>58</v>
      </c>
      <c r="C26" s="43"/>
      <c r="D26" s="44"/>
      <c r="E26" s="44"/>
      <c r="F26" s="44"/>
      <c r="G26" s="44"/>
      <c r="H26" s="44" t="n">
        <v>2833.63</v>
      </c>
      <c r="I26" s="44"/>
      <c r="J26" s="44"/>
      <c r="K26" s="44"/>
      <c r="L26" s="44"/>
      <c r="M26" s="44" t="n">
        <v>1333.33</v>
      </c>
      <c r="N26" s="44"/>
      <c r="O26" s="44"/>
      <c r="P26" s="44"/>
      <c r="Q26" s="44"/>
      <c r="R26" s="44" t="n">
        <v>1764.71</v>
      </c>
      <c r="S26" s="44"/>
      <c r="T26" s="44"/>
      <c r="U26" s="44"/>
      <c r="V26" s="44"/>
      <c r="W26" s="44" t="n">
        <v>641.67</v>
      </c>
      <c r="X26" s="44"/>
      <c r="Y26" s="44"/>
      <c r="Z26" s="44"/>
      <c r="AA26" s="44"/>
      <c r="AB26" s="44" t="n">
        <v>308.33</v>
      </c>
      <c r="AC26" s="44"/>
      <c r="AD26" s="44"/>
      <c r="AE26" s="44"/>
      <c r="AF26" s="44"/>
      <c r="AG26" s="44"/>
      <c r="AH26" s="44"/>
      <c r="AI26" s="44"/>
      <c r="AJ26" s="44"/>
      <c r="AK26" s="44"/>
      <c r="AL26" s="44"/>
      <c r="AM26" s="44"/>
      <c r="AN26" s="44"/>
      <c r="AO26" s="44"/>
      <c r="AP26" s="44"/>
      <c r="AQ26" s="44"/>
      <c r="AR26" s="44"/>
      <c r="AS26" s="44"/>
      <c r="AT26" s="44"/>
      <c r="AU26" s="44"/>
      <c r="AV26" s="44"/>
      <c r="AW26" s="44"/>
      <c r="AX26" s="44"/>
      <c r="AY26" s="44"/>
      <c r="AZ26" s="44"/>
      <c r="BA26" s="39" t="n">
        <f aca="false">C26+H26+M26+R26+W26+AB26+AG26+AL26+AQ26+AV26</f>
        <v>6881.67</v>
      </c>
      <c r="BB26" s="39" t="n">
        <f aca="false">D26+I26+N26+S26+X26+AC26+AH26+AM26+AR26+AW26</f>
        <v>0</v>
      </c>
      <c r="BC26" s="39" t="n">
        <f aca="false">E26+J26+O26+T26+Y26+AD26+AI26+AN26+AS26+AX26</f>
        <v>0</v>
      </c>
      <c r="BD26" s="39" t="n">
        <f aca="false">F26+K26+P26+U26+Z26+AE26+AJ26+AO26+AT26+AY26</f>
        <v>0</v>
      </c>
      <c r="BE26" s="39" t="n">
        <f aca="false">G26+L26+Q26+V26+AA26+AF26+AK26+AP26+AU26+AZ26</f>
        <v>0</v>
      </c>
      <c r="BF26" s="40" t="n">
        <f aca="false">SUM(BA26:BE26)</f>
        <v>6881.67</v>
      </c>
      <c r="BG26" s="14"/>
    </row>
    <row r="27" customFormat="false" ht="12.75" hidden="false" customHeight="true" outlineLevel="0" collapsed="false">
      <c r="B27" s="36" t="s">
        <v>59</v>
      </c>
      <c r="C27" s="43"/>
      <c r="D27" s="44"/>
      <c r="E27" s="44"/>
      <c r="F27" s="44"/>
      <c r="G27" s="44"/>
      <c r="H27" s="44"/>
      <c r="I27" s="44"/>
      <c r="J27" s="44"/>
      <c r="K27" s="44"/>
      <c r="L27" s="44"/>
      <c r="M27" s="44"/>
      <c r="N27" s="44"/>
      <c r="O27" s="44"/>
      <c r="P27" s="44"/>
      <c r="Q27" s="44"/>
      <c r="R27" s="44" t="n">
        <v>6000</v>
      </c>
      <c r="S27" s="44" t="n">
        <v>14000</v>
      </c>
      <c r="T27" s="44"/>
      <c r="U27" s="44"/>
      <c r="V27" s="44"/>
      <c r="W27" s="44" t="n">
        <v>6975</v>
      </c>
      <c r="X27" s="44" t="n">
        <v>5275</v>
      </c>
      <c r="Y27" s="44"/>
      <c r="Z27" s="44"/>
      <c r="AA27" s="44"/>
      <c r="AB27" s="44" t="n">
        <v>1325</v>
      </c>
      <c r="AC27" s="44" t="n">
        <v>2425</v>
      </c>
      <c r="AD27" s="44"/>
      <c r="AE27" s="44"/>
      <c r="AF27" s="44"/>
      <c r="AG27" s="44"/>
      <c r="AH27" s="44"/>
      <c r="AI27" s="44"/>
      <c r="AJ27" s="44"/>
      <c r="AK27" s="44"/>
      <c r="AL27" s="44"/>
      <c r="AM27" s="44"/>
      <c r="AN27" s="44"/>
      <c r="AO27" s="44"/>
      <c r="AP27" s="44"/>
      <c r="AQ27" s="44"/>
      <c r="AR27" s="44"/>
      <c r="AS27" s="44"/>
      <c r="AT27" s="44"/>
      <c r="AU27" s="44"/>
      <c r="AV27" s="44"/>
      <c r="AW27" s="44"/>
      <c r="AX27" s="44"/>
      <c r="AY27" s="44"/>
      <c r="AZ27" s="44"/>
      <c r="BA27" s="39" t="n">
        <f aca="false">C27+H27+M27+R27+W27+AB27+AG27+AL27+AQ27+AV27</f>
        <v>14300</v>
      </c>
      <c r="BB27" s="39" t="n">
        <f aca="false">D27+I27+N27+S27+X27+AC27+AH27+AM27+AR27+AW27</f>
        <v>21700</v>
      </c>
      <c r="BC27" s="39" t="n">
        <f aca="false">E27+J27+O27+T27+Y27+AD27+AI27+AN27+AS27+AX27</f>
        <v>0</v>
      </c>
      <c r="BD27" s="39" t="n">
        <f aca="false">F27+K27+P27+U27+Z27+AE27+AJ27+AO27+AT27+AY27</f>
        <v>0</v>
      </c>
      <c r="BE27" s="39" t="n">
        <f aca="false">G27+L27+Q27+V27+AA27+AF27+AK27+AP27+AU27+AZ27</f>
        <v>0</v>
      </c>
      <c r="BF27" s="40" t="n">
        <f aca="false">SUM(BA27:BE27)</f>
        <v>36000</v>
      </c>
      <c r="BG27" s="14"/>
    </row>
    <row r="28" customFormat="false" ht="12.75" hidden="false" customHeight="true" outlineLevel="0" collapsed="false">
      <c r="B28" s="45" t="s">
        <v>60</v>
      </c>
      <c r="C28" s="46"/>
      <c r="D28" s="46"/>
      <c r="E28" s="46"/>
      <c r="F28" s="46"/>
      <c r="G28" s="46"/>
      <c r="H28" s="46"/>
      <c r="I28" s="46"/>
      <c r="J28" s="46"/>
      <c r="K28" s="46"/>
      <c r="L28" s="46"/>
      <c r="M28" s="46"/>
      <c r="N28" s="46"/>
      <c r="O28" s="46"/>
      <c r="P28" s="46"/>
      <c r="Q28" s="46"/>
      <c r="R28" s="46"/>
      <c r="S28" s="46"/>
      <c r="T28" s="46"/>
      <c r="U28" s="46"/>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7" t="n">
        <f aca="false">C28+H28+M28+R28+W28+AB28+AG28+AL28+AQ28+AV28</f>
        <v>0</v>
      </c>
      <c r="BB28" s="47" t="n">
        <f aca="false">D28+I28+N28+S28+X28+AC28+AH28+AM28+AR28+AW28</f>
        <v>0</v>
      </c>
      <c r="BC28" s="47" t="n">
        <f aca="false">E28+J28+O28+T28+Y28+AD28+AI28+AN28+AS28+AX28</f>
        <v>0</v>
      </c>
      <c r="BD28" s="47" t="n">
        <f aca="false">F28+K28+P28+U28+Z28+AE28+AJ28+AO28+AT28+AY28</f>
        <v>0</v>
      </c>
      <c r="BE28" s="47" t="n">
        <f aca="false">G28+L28+Q28+V28+AA28+AF28+AK28+AP28+AU28+AZ28</f>
        <v>0</v>
      </c>
      <c r="BF28" s="47" t="n">
        <f aca="false">SUM(BA28:BE28)</f>
        <v>0</v>
      </c>
      <c r="BG28" s="14"/>
    </row>
    <row r="29" customFormat="false" ht="12.75" hidden="false" customHeight="true" outlineLevel="0" collapsed="false">
      <c r="B29" s="48" t="s">
        <v>61</v>
      </c>
      <c r="C29" s="49" t="n">
        <f aca="false">SUM(C14:C28)</f>
        <v>2967.39</v>
      </c>
      <c r="D29" s="49" t="n">
        <f aca="false">SUM(D14:D28)</f>
        <v>3133.04</v>
      </c>
      <c r="E29" s="49" t="n">
        <f aca="false">SUM(E14:E28)</f>
        <v>0</v>
      </c>
      <c r="F29" s="49" t="n">
        <f aca="false">SUM(F14:F28)</f>
        <v>0</v>
      </c>
      <c r="G29" s="49" t="n">
        <f aca="false">SUM(G14:G28)</f>
        <v>0</v>
      </c>
      <c r="H29" s="49" t="n">
        <f aca="false">SUM(H14:H28)</f>
        <v>27453.14</v>
      </c>
      <c r="I29" s="49" t="n">
        <f aca="false">SUM(I14:I28)</f>
        <v>16190.22</v>
      </c>
      <c r="J29" s="49" t="n">
        <f aca="false">SUM(J14:J28)</f>
        <v>0</v>
      </c>
      <c r="K29" s="49" t="n">
        <f aca="false">SUM(K14:K28)</f>
        <v>0</v>
      </c>
      <c r="L29" s="49" t="n">
        <f aca="false">SUM(L14:L28)</f>
        <v>0</v>
      </c>
      <c r="M29" s="49" t="n">
        <f aca="false">SUM(M14:M28)</f>
        <v>11408.04</v>
      </c>
      <c r="N29" s="49" t="n">
        <f aca="false">SUM(N14:N28)</f>
        <v>3719.4</v>
      </c>
      <c r="O29" s="49" t="n">
        <f aca="false">SUM(O14:O28)</f>
        <v>0</v>
      </c>
      <c r="P29" s="49" t="n">
        <f aca="false">SUM(P14:P28)</f>
        <v>0</v>
      </c>
      <c r="Q29" s="49" t="n">
        <f aca="false">SUM(Q14:Q28)</f>
        <v>0</v>
      </c>
      <c r="R29" s="49" t="n">
        <f aca="false">SUM(R14:R28)</f>
        <v>25018.25</v>
      </c>
      <c r="S29" s="49" t="n">
        <f aca="false">SUM(S14:S28)</f>
        <v>40077.06</v>
      </c>
      <c r="T29" s="49" t="n">
        <f aca="false">SUM(T14:T28)</f>
        <v>0</v>
      </c>
      <c r="U29" s="49" t="n">
        <f aca="false">SUM(U14:U28)</f>
        <v>0</v>
      </c>
      <c r="V29" s="49" t="n">
        <f aca="false">SUM(V14:V28)</f>
        <v>0</v>
      </c>
      <c r="W29" s="49" t="n">
        <f aca="false">SUM(W14:W28)</f>
        <v>28800</v>
      </c>
      <c r="X29" s="49" t="n">
        <f aca="false">SUM(X14:X28)</f>
        <v>16447.99</v>
      </c>
      <c r="Y29" s="49" t="n">
        <f aca="false">SUM(Y14:Y28)</f>
        <v>0</v>
      </c>
      <c r="Z29" s="49" t="n">
        <f aca="false">SUM(Z14:Z28)</f>
        <v>0</v>
      </c>
      <c r="AA29" s="49" t="n">
        <f aca="false">SUM(AA14:AA28)</f>
        <v>0</v>
      </c>
      <c r="AB29" s="49" t="n">
        <f aca="false">SUM(AB14:AB28)</f>
        <v>8562.95</v>
      </c>
      <c r="AC29" s="49" t="n">
        <f aca="false">SUM(AC14:AC28)</f>
        <v>15826.94</v>
      </c>
      <c r="AD29" s="49" t="n">
        <f aca="false">SUM(AD14:AD28)</f>
        <v>0</v>
      </c>
      <c r="AE29" s="49" t="n">
        <f aca="false">SUM(AE14:AE28)</f>
        <v>0</v>
      </c>
      <c r="AF29" s="49" t="n">
        <f aca="false">SUM(AF14:AF28)</f>
        <v>0</v>
      </c>
      <c r="AG29" s="49" t="n">
        <f aca="false">SUM(AG14:AG28)</f>
        <v>1224.13</v>
      </c>
      <c r="AH29" s="49" t="n">
        <f aca="false">SUM(AH14:AH28)</f>
        <v>1229.74</v>
      </c>
      <c r="AI29" s="49" t="n">
        <f aca="false">SUM(AI14:AI28)</f>
        <v>0</v>
      </c>
      <c r="AJ29" s="49" t="n">
        <f aca="false">SUM(AJ14:AJ28)</f>
        <v>0</v>
      </c>
      <c r="AK29" s="49" t="n">
        <f aca="false">SUM(AK14:AK28)</f>
        <v>0</v>
      </c>
      <c r="AL29" s="49" t="n">
        <f aca="false">SUM(AL14:AL28)</f>
        <v>0</v>
      </c>
      <c r="AM29" s="49" t="n">
        <f aca="false">SUM(AM14:AM28)</f>
        <v>0</v>
      </c>
      <c r="AN29" s="49" t="n">
        <f aca="false">SUM(AN14:AN28)</f>
        <v>0</v>
      </c>
      <c r="AO29" s="49" t="n">
        <f aca="false">SUM(AO14:AO28)</f>
        <v>0</v>
      </c>
      <c r="AP29" s="49" t="n">
        <f aca="false">SUM(AP14:AP28)</f>
        <v>0</v>
      </c>
      <c r="AQ29" s="49" t="n">
        <f aca="false">SUM(AQ14:AQ28)</f>
        <v>0</v>
      </c>
      <c r="AR29" s="49" t="n">
        <f aca="false">SUM(AR14:AR28)</f>
        <v>0</v>
      </c>
      <c r="AS29" s="49" t="n">
        <f aca="false">SUM(AS14:AS28)</f>
        <v>0</v>
      </c>
      <c r="AT29" s="49" t="n">
        <f aca="false">SUM(AT14:AT28)</f>
        <v>0</v>
      </c>
      <c r="AU29" s="49" t="n">
        <f aca="false">SUM(AU14:AU28)</f>
        <v>0</v>
      </c>
      <c r="AV29" s="49" t="n">
        <f aca="false">SUM(AV14:AV28)</f>
        <v>0</v>
      </c>
      <c r="AW29" s="49" t="n">
        <f aca="false">SUM(AW14:AW28)</f>
        <v>0</v>
      </c>
      <c r="AX29" s="49" t="n">
        <f aca="false">SUM(AX14:AX28)</f>
        <v>0</v>
      </c>
      <c r="AY29" s="49" t="n">
        <f aca="false">SUM(AY14:AY28)</f>
        <v>0</v>
      </c>
      <c r="AZ29" s="49" t="n">
        <f aca="false">SUM(AZ14:AZ28)</f>
        <v>0</v>
      </c>
      <c r="BA29" s="40" t="n">
        <f aca="false">C29+H29+M29+R29+W29+AB29+AG29+AL29+AQ29+AV29</f>
        <v>105433.9</v>
      </c>
      <c r="BB29" s="40" t="n">
        <f aca="false">D29+I29+N29+S29+X29+AC29+AH29+AM29+AR29+AW29</f>
        <v>96624.39</v>
      </c>
      <c r="BC29" s="40" t="n">
        <f aca="false">E29+J29+O29+T29+Y29+AD29+AI29+AN29+AS29+AX29</f>
        <v>0</v>
      </c>
      <c r="BD29" s="40" t="n">
        <f aca="false">F29+K29+P29+U29+Z29+AE29+AJ29+AO29+AT29+AY29</f>
        <v>0</v>
      </c>
      <c r="BE29" s="40" t="n">
        <f aca="false">G29+L29+Q29+V29+AA29+AF29+AK29+AP29+AU29+AZ29</f>
        <v>0</v>
      </c>
      <c r="BF29" s="40" t="n">
        <f aca="false">SUM(BA29:BE29)</f>
        <v>202058.29</v>
      </c>
      <c r="BG29" s="14"/>
    </row>
    <row r="30" customFormat="false" ht="12.75" hidden="false" customHeight="true" outlineLevel="0" collapsed="false">
      <c r="B30" s="50"/>
      <c r="C30" s="51"/>
      <c r="D30" s="51"/>
      <c r="E30" s="51"/>
      <c r="F30" s="51"/>
      <c r="G30" s="51"/>
      <c r="H30" s="51"/>
      <c r="I30" s="51"/>
      <c r="J30" s="51"/>
      <c r="K30" s="51"/>
      <c r="L30" s="51"/>
      <c r="M30" s="51"/>
      <c r="N30" s="51"/>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2"/>
      <c r="BB30" s="52"/>
      <c r="BC30" s="52"/>
      <c r="BD30" s="52"/>
      <c r="BE30" s="52"/>
      <c r="BF30" s="52"/>
      <c r="BG30" s="14"/>
    </row>
    <row r="31" customFormat="false" ht="12.75" hidden="false" customHeight="true" outlineLevel="0" collapsed="false">
      <c r="B31" s="50"/>
      <c r="C31" s="14"/>
      <c r="D31" s="14"/>
      <c r="E31" s="14"/>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row>
    <row r="32" customFormat="false" ht="12.75" hidden="false" customHeight="true" outlineLevel="0" collapsed="false">
      <c r="B32" s="50"/>
      <c r="C32" s="30" t="s">
        <v>62</v>
      </c>
      <c r="D32" s="30"/>
      <c r="E32" s="30"/>
      <c r="F32" s="30"/>
      <c r="G32" s="30"/>
      <c r="H32" s="30"/>
      <c r="I32" s="30" t="s">
        <v>62</v>
      </c>
      <c r="J32" s="30"/>
      <c r="K32" s="30"/>
      <c r="L32" s="30"/>
      <c r="M32" s="30"/>
      <c r="N32" s="30"/>
      <c r="O32" s="53" t="s">
        <v>39</v>
      </c>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row>
    <row r="33" customFormat="false" ht="12.75" hidden="false" customHeight="true" outlineLevel="0" collapsed="false">
      <c r="B33" s="50"/>
      <c r="C33" s="34" t="s">
        <v>41</v>
      </c>
      <c r="D33" s="34" t="s">
        <v>42</v>
      </c>
      <c r="E33" s="34" t="s">
        <v>43</v>
      </c>
      <c r="F33" s="34" t="s">
        <v>44</v>
      </c>
      <c r="G33" s="34" t="s">
        <v>45</v>
      </c>
      <c r="H33" s="53" t="s">
        <v>63</v>
      </c>
      <c r="I33" s="34" t="s">
        <v>41</v>
      </c>
      <c r="J33" s="34" t="s">
        <v>42</v>
      </c>
      <c r="K33" s="34" t="s">
        <v>43</v>
      </c>
      <c r="L33" s="34" t="s">
        <v>44</v>
      </c>
      <c r="M33" s="34" t="s">
        <v>45</v>
      </c>
      <c r="N33" s="53" t="s">
        <v>64</v>
      </c>
      <c r="O33" s="53"/>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row>
    <row r="34" customFormat="false" ht="12.75" hidden="false" customHeight="true" outlineLevel="0" collapsed="false">
      <c r="B34" s="54"/>
      <c r="C34" s="53" t="s">
        <v>65</v>
      </c>
      <c r="D34" s="53"/>
      <c r="E34" s="53"/>
      <c r="F34" s="53"/>
      <c r="G34" s="53"/>
      <c r="H34" s="53"/>
      <c r="I34" s="53" t="s">
        <v>66</v>
      </c>
      <c r="J34" s="53"/>
      <c r="K34" s="53"/>
      <c r="L34" s="53"/>
      <c r="M34" s="53"/>
      <c r="N34" s="53"/>
      <c r="O34" s="53"/>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row>
    <row r="35" customFormat="false" ht="12.75" hidden="false" customHeight="true" outlineLevel="0" collapsed="false">
      <c r="B35" s="36" t="s">
        <v>46</v>
      </c>
      <c r="C35" s="42" t="n">
        <f aca="false">C14+H14</f>
        <v>0</v>
      </c>
      <c r="D35" s="37" t="n">
        <f aca="false">D14+I14</f>
        <v>0</v>
      </c>
      <c r="E35" s="37" t="n">
        <f aca="false">E14+J14</f>
        <v>0</v>
      </c>
      <c r="F35" s="37" t="n">
        <f aca="false">F14+K14</f>
        <v>0</v>
      </c>
      <c r="G35" s="37" t="n">
        <f aca="false">G14+L14</f>
        <v>0</v>
      </c>
      <c r="H35" s="49" t="n">
        <f aca="false">SUM(C35:G35)</f>
        <v>0</v>
      </c>
      <c r="I35" s="37" t="n">
        <f aca="false">M14+R14+W14+AB14+AG14</f>
        <v>0</v>
      </c>
      <c r="J35" s="37" t="n">
        <f aca="false">N14+S14+X14+AC14+AH14</f>
        <v>0</v>
      </c>
      <c r="K35" s="37" t="n">
        <f aca="false">O14+T14+Y14+AD14+AI14</f>
        <v>0</v>
      </c>
      <c r="L35" s="37" t="n">
        <f aca="false">P14+U14+Z14+AE14+AJ14</f>
        <v>0</v>
      </c>
      <c r="M35" s="37" t="n">
        <f aca="false">Q14+V14+AA14+AF14+AK14</f>
        <v>0</v>
      </c>
      <c r="N35" s="49" t="n">
        <f aca="false">SUM(I35:M35)</f>
        <v>0</v>
      </c>
      <c r="O35" s="49" t="n">
        <f aca="false">H35+N35</f>
        <v>0</v>
      </c>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row>
    <row r="36" customFormat="false" ht="12.75" hidden="false" customHeight="true" outlineLevel="0" collapsed="false">
      <c r="B36" s="41" t="s">
        <v>47</v>
      </c>
      <c r="C36" s="42" t="n">
        <f aca="false">C15+H15</f>
        <v>0</v>
      </c>
      <c r="D36" s="37" t="n">
        <f aca="false">D15+I15</f>
        <v>0</v>
      </c>
      <c r="E36" s="37" t="n">
        <f aca="false">E15+J15</f>
        <v>0</v>
      </c>
      <c r="F36" s="37" t="n">
        <f aca="false">F15+K15</f>
        <v>0</v>
      </c>
      <c r="G36" s="37" t="n">
        <f aca="false">G15+L15</f>
        <v>0</v>
      </c>
      <c r="H36" s="49" t="n">
        <f aca="false">SUM(C36:G36)</f>
        <v>0</v>
      </c>
      <c r="I36" s="37" t="n">
        <f aca="false">M15+R15+W15+AB15+AG15</f>
        <v>3690</v>
      </c>
      <c r="J36" s="37" t="n">
        <f aca="false">N15+S15+X15+AC15+AH15</f>
        <v>7650</v>
      </c>
      <c r="K36" s="37" t="n">
        <f aca="false">O15+T15+Y15+AD15+AI15</f>
        <v>0</v>
      </c>
      <c r="L36" s="37" t="n">
        <f aca="false">P15+U15+Z15+AE15+AJ15</f>
        <v>0</v>
      </c>
      <c r="M36" s="37" t="n">
        <f aca="false">Q15+V15+AA15+AF15+AK15</f>
        <v>0</v>
      </c>
      <c r="N36" s="49" t="n">
        <f aca="false">SUM(I36:M36)</f>
        <v>11340</v>
      </c>
      <c r="O36" s="49" t="n">
        <f aca="false">H36+N36</f>
        <v>11340</v>
      </c>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row>
    <row r="37" customFormat="false" ht="12.75" hidden="false" customHeight="true" outlineLevel="0" collapsed="false">
      <c r="B37" s="36" t="s">
        <v>48</v>
      </c>
      <c r="C37" s="42" t="n">
        <f aca="false">C16+H16</f>
        <v>2798</v>
      </c>
      <c r="D37" s="37" t="n">
        <f aca="false">D16+I16</f>
        <v>2238.4</v>
      </c>
      <c r="E37" s="37" t="n">
        <f aca="false">E16+J16</f>
        <v>0</v>
      </c>
      <c r="F37" s="37" t="n">
        <f aca="false">F16+K16</f>
        <v>0</v>
      </c>
      <c r="G37" s="37" t="n">
        <f aca="false">G16+L16</f>
        <v>0</v>
      </c>
      <c r="H37" s="49" t="n">
        <f aca="false">SUM(C37:G37)</f>
        <v>5036.4</v>
      </c>
      <c r="I37" s="37" t="n">
        <f aca="false">M16+R16+W16+AB16+AG16</f>
        <v>6211.56</v>
      </c>
      <c r="J37" s="37" t="n">
        <f aca="false">N16+S16+X16+AC16+AH16</f>
        <v>4197</v>
      </c>
      <c r="K37" s="37" t="n">
        <f aca="false">O16+T16+Y16+AD16+AI16</f>
        <v>0</v>
      </c>
      <c r="L37" s="37" t="n">
        <f aca="false">P16+U16+Z16+AE16+AJ16</f>
        <v>0</v>
      </c>
      <c r="M37" s="37" t="n">
        <f aca="false">Q16+V16+AA16+AF16+AK16</f>
        <v>0</v>
      </c>
      <c r="N37" s="49" t="n">
        <f aca="false">SUM(I37:M37)</f>
        <v>10408.56</v>
      </c>
      <c r="O37" s="49" t="n">
        <f aca="false">H37+N37</f>
        <v>15444.96</v>
      </c>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row>
    <row r="38" customFormat="false" ht="12.75" hidden="false" customHeight="true" outlineLevel="0" collapsed="false">
      <c r="B38" s="36" t="s">
        <v>49</v>
      </c>
      <c r="C38" s="42" t="n">
        <f aca="false">C17+H17</f>
        <v>7505.96</v>
      </c>
      <c r="D38" s="37" t="n">
        <f aca="false">D17+I17</f>
        <v>3059.56</v>
      </c>
      <c r="E38" s="37" t="n">
        <f aca="false">E17+J17</f>
        <v>0</v>
      </c>
      <c r="F38" s="37" t="n">
        <f aca="false">F17+K17</f>
        <v>0</v>
      </c>
      <c r="G38" s="37" t="n">
        <f aca="false">G17+L17</f>
        <v>0</v>
      </c>
      <c r="H38" s="49" t="n">
        <f aca="false">SUM(C38:G38)</f>
        <v>10565.52</v>
      </c>
      <c r="I38" s="37" t="n">
        <f aca="false">M17+R17+W17+AB17+AG17</f>
        <v>10764.85</v>
      </c>
      <c r="J38" s="37" t="n">
        <f aca="false">N17+S17+X17+AC17+AH17</f>
        <v>6716.87</v>
      </c>
      <c r="K38" s="37" t="n">
        <f aca="false">O17+T17+Y17+AD17+AI17</f>
        <v>0</v>
      </c>
      <c r="L38" s="37" t="n">
        <f aca="false">P17+U17+Z17+AE17+AJ17</f>
        <v>0</v>
      </c>
      <c r="M38" s="37" t="n">
        <f aca="false">Q17+V17+AA17+AF17+AK17</f>
        <v>0</v>
      </c>
      <c r="N38" s="49" t="n">
        <f aca="false">SUM(I38:M38)</f>
        <v>17481.72</v>
      </c>
      <c r="O38" s="49" t="n">
        <f aca="false">H38+N38</f>
        <v>28047.24</v>
      </c>
      <c r="Q38" s="14"/>
      <c r="R38" s="55"/>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row>
    <row r="39" customFormat="false" ht="12.75" hidden="false" customHeight="true" outlineLevel="0" collapsed="false">
      <c r="B39" s="36" t="s">
        <v>50</v>
      </c>
      <c r="C39" s="42" t="n">
        <f aca="false">C18+H18</f>
        <v>6267.52</v>
      </c>
      <c r="D39" s="37" t="n">
        <f aca="false">D18+I18</f>
        <v>6267.52</v>
      </c>
      <c r="E39" s="37" t="n">
        <f aca="false">E18+J18</f>
        <v>0</v>
      </c>
      <c r="F39" s="37" t="n">
        <f aca="false">F18+K18</f>
        <v>0</v>
      </c>
      <c r="G39" s="37" t="n">
        <f aca="false">G18+L18</f>
        <v>0</v>
      </c>
      <c r="H39" s="49" t="n">
        <f aca="false">SUM(C39:G39)</f>
        <v>12535.04</v>
      </c>
      <c r="I39" s="37" t="n">
        <f aca="false">M18+R18+W18+AB18+AG18</f>
        <v>6995</v>
      </c>
      <c r="J39" s="37" t="n">
        <f aca="false">N18+S18+X18+AC18+AH18</f>
        <v>6995</v>
      </c>
      <c r="K39" s="37" t="n">
        <f aca="false">O18+T18+Y18+AD18+AI18</f>
        <v>0</v>
      </c>
      <c r="L39" s="37" t="n">
        <f aca="false">P18+U18+Z18+AE18+AJ18</f>
        <v>0</v>
      </c>
      <c r="M39" s="37" t="n">
        <f aca="false">Q18+V18+AA18+AF18+AK18</f>
        <v>0</v>
      </c>
      <c r="N39" s="49" t="n">
        <f aca="false">SUM(I39:M39)</f>
        <v>13990</v>
      </c>
      <c r="O39" s="49" t="n">
        <f aca="false">H39+N39</f>
        <v>26525.04</v>
      </c>
      <c r="Q39" s="14"/>
      <c r="R39" s="55"/>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row>
    <row r="40" customFormat="false" ht="12.75" hidden="false" customHeight="true" outlineLevel="0" collapsed="false">
      <c r="B40" s="36" t="s">
        <v>51</v>
      </c>
      <c r="C40" s="42" t="n">
        <f aca="false">C19+H19</f>
        <v>8895.42</v>
      </c>
      <c r="D40" s="37" t="n">
        <f aca="false">D19+I19</f>
        <v>5427.78</v>
      </c>
      <c r="E40" s="37" t="n">
        <f aca="false">E19+J19</f>
        <v>0</v>
      </c>
      <c r="F40" s="37" t="n">
        <f aca="false">F19+K19</f>
        <v>0</v>
      </c>
      <c r="G40" s="37" t="n">
        <f aca="false">G19+L19</f>
        <v>0</v>
      </c>
      <c r="H40" s="49" t="n">
        <f aca="false">SUM(C40:G40)</f>
        <v>14323.2</v>
      </c>
      <c r="I40" s="37" t="n">
        <f aca="false">M19+R19+W19+AB19+AG19</f>
        <v>24353.93</v>
      </c>
      <c r="J40" s="37" t="n">
        <f aca="false">N19+S19+X19+AC19+AH19</f>
        <v>25042.27</v>
      </c>
      <c r="K40" s="37" t="n">
        <f aca="false">O19+T19+Y19+AD19+AI19</f>
        <v>0</v>
      </c>
      <c r="L40" s="37" t="n">
        <f aca="false">P19+U19+Z19+AE19+AJ19</f>
        <v>0</v>
      </c>
      <c r="M40" s="37" t="n">
        <f aca="false">Q19+V19+AA19+AF19+AK19</f>
        <v>0</v>
      </c>
      <c r="N40" s="49" t="n">
        <f aca="false">SUM(I40:M40)</f>
        <v>49396.2</v>
      </c>
      <c r="O40" s="49" t="n">
        <f aca="false">H40+N40</f>
        <v>63719.4</v>
      </c>
      <c r="Q40" s="14"/>
      <c r="R40" s="56"/>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row>
    <row r="41" customFormat="false" ht="12.75" hidden="false" customHeight="true" outlineLevel="0" collapsed="false">
      <c r="B41" s="36" t="s">
        <v>52</v>
      </c>
      <c r="C41" s="42" t="n">
        <f aca="false">C20+H20</f>
        <v>500</v>
      </c>
      <c r="D41" s="37" t="n">
        <f aca="false">D20+I20</f>
        <v>500</v>
      </c>
      <c r="E41" s="37" t="n">
        <f aca="false">E20+J20</f>
        <v>0</v>
      </c>
      <c r="F41" s="37" t="n">
        <f aca="false">F20+K20</f>
        <v>0</v>
      </c>
      <c r="G41" s="37" t="n">
        <f aca="false">G20+L20</f>
        <v>0</v>
      </c>
      <c r="H41" s="49" t="n">
        <f aca="false">SUM(C41:G41)</f>
        <v>1000</v>
      </c>
      <c r="I41" s="37" t="n">
        <f aca="false">M20+R20+W20+AB20+AG20</f>
        <v>0</v>
      </c>
      <c r="J41" s="37" t="n">
        <f aca="false">N20+S20+X20+AC20+AH20</f>
        <v>0</v>
      </c>
      <c r="K41" s="37" t="n">
        <f aca="false">O20+T20+Y20+AD20+AI20</f>
        <v>0</v>
      </c>
      <c r="L41" s="37" t="n">
        <f aca="false">P20+U20+Z20+AE20+AJ20</f>
        <v>0</v>
      </c>
      <c r="M41" s="37" t="n">
        <f aca="false">Q20+V20+AA20+AF20+AK20</f>
        <v>0</v>
      </c>
      <c r="N41" s="49" t="n">
        <f aca="false">SUM(I41:M41)</f>
        <v>0</v>
      </c>
      <c r="O41" s="49" t="n">
        <f aca="false">H41+N41</f>
        <v>1000</v>
      </c>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row>
    <row r="42" customFormat="false" ht="12.75" hidden="false" customHeight="true" outlineLevel="0" collapsed="false">
      <c r="B42" s="36" t="s">
        <v>53</v>
      </c>
      <c r="C42" s="42" t="n">
        <f aca="false">C21+H21</f>
        <v>420</v>
      </c>
      <c r="D42" s="37" t="n">
        <f aca="false">D21+I21</f>
        <v>630</v>
      </c>
      <c r="E42" s="37" t="n">
        <f aca="false">E21+J21</f>
        <v>0</v>
      </c>
      <c r="F42" s="37" t="n">
        <f aca="false">F21+K21</f>
        <v>0</v>
      </c>
      <c r="G42" s="37" t="n">
        <f aca="false">G21+L21</f>
        <v>0</v>
      </c>
      <c r="H42" s="49" t="n">
        <f aca="false">SUM(C42:G42)</f>
        <v>1050</v>
      </c>
      <c r="I42" s="37" t="n">
        <f aca="false">M21+R21+W21+AB21+AG21</f>
        <v>700</v>
      </c>
      <c r="J42" s="37" t="n">
        <f aca="false">N21+S21+X21+AC21+AH21</f>
        <v>1050</v>
      </c>
      <c r="K42" s="37" t="n">
        <f aca="false">O21+T21+Y21+AD21+AI21</f>
        <v>0</v>
      </c>
      <c r="L42" s="37" t="n">
        <f aca="false">P21+U21+Z21+AE21+AJ21</f>
        <v>0</v>
      </c>
      <c r="M42" s="37" t="n">
        <f aca="false">Q21+V21+AA21+AF21+AK21</f>
        <v>0</v>
      </c>
      <c r="N42" s="49" t="n">
        <f aca="false">SUM(I42:M42)</f>
        <v>1750</v>
      </c>
      <c r="O42" s="49" t="n">
        <f aca="false">H42+N42</f>
        <v>2800</v>
      </c>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row>
    <row r="43" customFormat="false" ht="12.75" hidden="false" customHeight="true" outlineLevel="0" collapsed="false">
      <c r="B43" s="36" t="s">
        <v>54</v>
      </c>
      <c r="C43" s="42" t="n">
        <f aca="false">C22+H22</f>
        <v>200</v>
      </c>
      <c r="D43" s="37" t="n">
        <f aca="false">D22+I22</f>
        <v>200</v>
      </c>
      <c r="E43" s="37" t="n">
        <f aca="false">E22+J22</f>
        <v>0</v>
      </c>
      <c r="F43" s="37" t="n">
        <f aca="false">F22+K22</f>
        <v>0</v>
      </c>
      <c r="G43" s="37" t="n">
        <f aca="false">G22+L22</f>
        <v>0</v>
      </c>
      <c r="H43" s="49" t="n">
        <f aca="false">SUM(C43:G43)</f>
        <v>400</v>
      </c>
      <c r="I43" s="37" t="n">
        <f aca="false">M22+R22+W22+AB22+AG22</f>
        <v>300</v>
      </c>
      <c r="J43" s="37" t="n">
        <f aca="false">N22+S22+X22+AC22+AH22</f>
        <v>300</v>
      </c>
      <c r="K43" s="37" t="n">
        <f aca="false">O22+T22+Y22+AD22+AI22</f>
        <v>0</v>
      </c>
      <c r="L43" s="37" t="n">
        <f aca="false">P22+U22+Z22+AE22+AJ22</f>
        <v>0</v>
      </c>
      <c r="M43" s="37" t="n">
        <f aca="false">Q22+V22+AA22+AF22+AK22</f>
        <v>0</v>
      </c>
      <c r="N43" s="49" t="n">
        <f aca="false">SUM(I43:M43)</f>
        <v>600</v>
      </c>
      <c r="O43" s="49" t="n">
        <f aca="false">H43+N43</f>
        <v>1000</v>
      </c>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row>
    <row r="44" customFormat="false" ht="12.75" hidden="false" customHeight="true" outlineLevel="0" collapsed="false">
      <c r="B44" s="36" t="s">
        <v>55</v>
      </c>
      <c r="C44" s="42" t="n">
        <f aca="false">C23+H23</f>
        <v>0</v>
      </c>
      <c r="D44" s="37" t="n">
        <f aca="false">D23+I23</f>
        <v>0</v>
      </c>
      <c r="E44" s="37" t="n">
        <f aca="false">E23+J23</f>
        <v>0</v>
      </c>
      <c r="F44" s="37" t="n">
        <f aca="false">F23+K23</f>
        <v>0</v>
      </c>
      <c r="G44" s="37" t="n">
        <f aca="false">G23+L23</f>
        <v>0</v>
      </c>
      <c r="H44" s="49" t="n">
        <f aca="false">SUM(C44:G44)</f>
        <v>0</v>
      </c>
      <c r="I44" s="37" t="n">
        <f aca="false">M23+R23+W23+AB23+AG23</f>
        <v>1400</v>
      </c>
      <c r="J44" s="37" t="n">
        <f aca="false">N23+S23+X23+AC23+AH23</f>
        <v>1400</v>
      </c>
      <c r="K44" s="37" t="n">
        <f aca="false">O23+T23+Y23+AD23+AI23</f>
        <v>0</v>
      </c>
      <c r="L44" s="37" t="n">
        <f aca="false">P23+U23+Z23+AE23+AJ23</f>
        <v>0</v>
      </c>
      <c r="M44" s="37" t="n">
        <f aca="false">Q23+V23+AA23+AF23+AK23</f>
        <v>0</v>
      </c>
      <c r="N44" s="49" t="n">
        <f aca="false">SUM(I44:M44)</f>
        <v>2800</v>
      </c>
      <c r="O44" s="49" t="n">
        <f aca="false">H44+N44</f>
        <v>2800</v>
      </c>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row>
    <row r="45" customFormat="false" ht="12.75" hidden="false" customHeight="true" outlineLevel="0" collapsed="false">
      <c r="B45" s="36" t="s">
        <v>56</v>
      </c>
      <c r="C45" s="42" t="n">
        <f aca="false">C24+H24</f>
        <v>750</v>
      </c>
      <c r="D45" s="37" t="n">
        <f aca="false">D24+I24</f>
        <v>750</v>
      </c>
      <c r="E45" s="37" t="n">
        <f aca="false">E24+J24</f>
        <v>0</v>
      </c>
      <c r="F45" s="37" t="n">
        <f aca="false">F24+K24</f>
        <v>0</v>
      </c>
      <c r="G45" s="37" t="n">
        <f aca="false">G24+L24</f>
        <v>0</v>
      </c>
      <c r="H45" s="49" t="n">
        <f aca="false">SUM(C45:G45)</f>
        <v>1500</v>
      </c>
      <c r="I45" s="37" t="n">
        <f aca="false">M24+R24+W24+AB24+AG24</f>
        <v>1750</v>
      </c>
      <c r="J45" s="37" t="n">
        <f aca="false">N24+S24+X24+AC24+AH24</f>
        <v>1750</v>
      </c>
      <c r="K45" s="37" t="n">
        <f aca="false">O24+T24+Y24+AD24+AI24</f>
        <v>0</v>
      </c>
      <c r="L45" s="37" t="n">
        <f aca="false">P24+U24+Z24+AE24+AJ24</f>
        <v>0</v>
      </c>
      <c r="M45" s="37" t="n">
        <f aca="false">Q24+V24+AA24+AF24+AK24</f>
        <v>0</v>
      </c>
      <c r="N45" s="49" t="n">
        <f aca="false">SUM(I45:M45)</f>
        <v>3500</v>
      </c>
      <c r="O45" s="49" t="n">
        <f aca="false">H45+N45</f>
        <v>5000</v>
      </c>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row>
    <row r="46" customFormat="false" ht="12.75" hidden="false" customHeight="true" outlineLevel="0" collapsed="false">
      <c r="B46" s="36" t="s">
        <v>57</v>
      </c>
      <c r="C46" s="42" t="n">
        <f aca="false">C25+H25</f>
        <v>250</v>
      </c>
      <c r="D46" s="37" t="n">
        <f aca="false">D25+I25</f>
        <v>250</v>
      </c>
      <c r="E46" s="37" t="n">
        <f aca="false">E25+J25</f>
        <v>0</v>
      </c>
      <c r="F46" s="37" t="n">
        <f aca="false">F25+K25</f>
        <v>0</v>
      </c>
      <c r="G46" s="37" t="n">
        <f aca="false">G25+L25</f>
        <v>0</v>
      </c>
      <c r="H46" s="49" t="n">
        <f aca="false">SUM(C46:G46)</f>
        <v>500</v>
      </c>
      <c r="I46" s="37" t="n">
        <f aca="false">M25+R25+W25+AB25+AG25</f>
        <v>499.99</v>
      </c>
      <c r="J46" s="37" t="n">
        <f aca="false">N25+S25+X25+AC25+AH25</f>
        <v>499.99</v>
      </c>
      <c r="K46" s="37" t="n">
        <f aca="false">O25+T25+Y25+AD25+AI25</f>
        <v>0</v>
      </c>
      <c r="L46" s="37" t="n">
        <f aca="false">P25+U25+Z25+AE25+AJ25</f>
        <v>0</v>
      </c>
      <c r="M46" s="37" t="n">
        <f aca="false">Q25+V25+AA25+AF25+AK25</f>
        <v>0</v>
      </c>
      <c r="N46" s="49" t="n">
        <f aca="false">SUM(I46:M46)</f>
        <v>999.98</v>
      </c>
      <c r="O46" s="49" t="n">
        <f aca="false">H46+N46</f>
        <v>1499.98</v>
      </c>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row>
    <row r="47" customFormat="false" ht="12.75" hidden="false" customHeight="true" outlineLevel="0" collapsed="false">
      <c r="B47" s="36" t="s">
        <v>58</v>
      </c>
      <c r="C47" s="42" t="n">
        <f aca="false">C26+H26</f>
        <v>2833.63</v>
      </c>
      <c r="D47" s="37" t="n">
        <f aca="false">D26+I26</f>
        <v>0</v>
      </c>
      <c r="E47" s="37" t="n">
        <f aca="false">E26+J26</f>
        <v>0</v>
      </c>
      <c r="F47" s="37" t="n">
        <f aca="false">F26+K26</f>
        <v>0</v>
      </c>
      <c r="G47" s="37" t="n">
        <f aca="false">G26+L26</f>
        <v>0</v>
      </c>
      <c r="H47" s="49" t="n">
        <f aca="false">SUM(C47:G47)</f>
        <v>2833.63</v>
      </c>
      <c r="I47" s="37" t="n">
        <f aca="false">M26+R26+W26+AB26+AG26</f>
        <v>4048.04</v>
      </c>
      <c r="J47" s="37" t="n">
        <f aca="false">N26+S26+X26+AC26+AH26</f>
        <v>0</v>
      </c>
      <c r="K47" s="37" t="n">
        <f aca="false">O26+T26+Y26+AD26+AI26</f>
        <v>0</v>
      </c>
      <c r="L47" s="37" t="n">
        <f aca="false">P26+U26+Z26+AE26+AJ26</f>
        <v>0</v>
      </c>
      <c r="M47" s="37" t="n">
        <f aca="false">Q26+V26+AA26+AF26+AK26</f>
        <v>0</v>
      </c>
      <c r="N47" s="49" t="n">
        <f aca="false">SUM(I47:M47)</f>
        <v>4048.04</v>
      </c>
      <c r="O47" s="49" t="n">
        <f aca="false">H47+N47</f>
        <v>6881.67</v>
      </c>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row>
    <row r="48" customFormat="false" ht="12.75" hidden="false" customHeight="true" outlineLevel="0" collapsed="false">
      <c r="B48" s="36" t="s">
        <v>59</v>
      </c>
      <c r="C48" s="42" t="n">
        <f aca="false">C27+H27</f>
        <v>0</v>
      </c>
      <c r="D48" s="37" t="n">
        <f aca="false">D27+I27</f>
        <v>0</v>
      </c>
      <c r="E48" s="37" t="n">
        <f aca="false">E27+J27</f>
        <v>0</v>
      </c>
      <c r="F48" s="37" t="n">
        <f aca="false">F27+K27</f>
        <v>0</v>
      </c>
      <c r="G48" s="37" t="n">
        <f aca="false">G27+L27</f>
        <v>0</v>
      </c>
      <c r="H48" s="49" t="n">
        <f aca="false">SUM(C48:G48)</f>
        <v>0</v>
      </c>
      <c r="I48" s="37" t="n">
        <f aca="false">M27+R27+W27+AB27+AG27</f>
        <v>14300</v>
      </c>
      <c r="J48" s="37" t="n">
        <f aca="false">N27+S27+X27+AC27+AH27</f>
        <v>21700</v>
      </c>
      <c r="K48" s="37" t="n">
        <f aca="false">O27+T27+Y27+AD27+AI27</f>
        <v>0</v>
      </c>
      <c r="L48" s="37" t="n">
        <f aca="false">P27+U27+Z27+AE27+AJ27</f>
        <v>0</v>
      </c>
      <c r="M48" s="37" t="n">
        <f aca="false">Q27+V27+AA27+AF27+AK27</f>
        <v>0</v>
      </c>
      <c r="N48" s="49" t="n">
        <f aca="false">SUM(I48:M48)</f>
        <v>36000</v>
      </c>
      <c r="O48" s="49" t="n">
        <f aca="false">H48+N48</f>
        <v>36000</v>
      </c>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row>
    <row r="49" customFormat="false" ht="12.75" hidden="false" customHeight="true" outlineLevel="0" collapsed="false">
      <c r="B49" s="45" t="s">
        <v>60</v>
      </c>
      <c r="C49" s="57" t="n">
        <f aca="false">C28+H28</f>
        <v>0</v>
      </c>
      <c r="D49" s="57" t="n">
        <f aca="false">D28+I28</f>
        <v>0</v>
      </c>
      <c r="E49" s="57" t="n">
        <f aca="false">E28+J28</f>
        <v>0</v>
      </c>
      <c r="F49" s="57" t="n">
        <f aca="false">F28+K28</f>
        <v>0</v>
      </c>
      <c r="G49" s="57" t="n">
        <f aca="false">G28+L28</f>
        <v>0</v>
      </c>
      <c r="H49" s="57" t="n">
        <f aca="false">SUM(C49:G49)</f>
        <v>0</v>
      </c>
      <c r="I49" s="57" t="n">
        <f aca="false">M28+R28+W28+AB28+AG28</f>
        <v>0</v>
      </c>
      <c r="J49" s="57" t="n">
        <f aca="false">N28+S28+X28+AC28+AH28</f>
        <v>0</v>
      </c>
      <c r="K49" s="57" t="n">
        <f aca="false">O28+T28+Y28+AD28+AI28</f>
        <v>0</v>
      </c>
      <c r="L49" s="57" t="n">
        <f aca="false">P28+U28+Z28+AE28+AJ28</f>
        <v>0</v>
      </c>
      <c r="M49" s="57" t="n">
        <f aca="false">Q28+V28+AA28+AF28+AK28</f>
        <v>0</v>
      </c>
      <c r="N49" s="57" t="n">
        <f aca="false">SUM(I49:M49)</f>
        <v>0</v>
      </c>
      <c r="O49" s="58" t="n">
        <f aca="false">H49+N49</f>
        <v>0</v>
      </c>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row>
    <row r="50" customFormat="false" ht="12.75" hidden="false" customHeight="true" outlineLevel="0" collapsed="false">
      <c r="B50" s="48" t="s">
        <v>61</v>
      </c>
      <c r="C50" s="49" t="n">
        <f aca="false">C29+H29</f>
        <v>30420.53</v>
      </c>
      <c r="D50" s="49" t="n">
        <f aca="false">D29+I29</f>
        <v>19323.26</v>
      </c>
      <c r="E50" s="49" t="n">
        <f aca="false">E29+J29</f>
        <v>0</v>
      </c>
      <c r="F50" s="49" t="n">
        <f aca="false">F29+K29</f>
        <v>0</v>
      </c>
      <c r="G50" s="49" t="n">
        <f aca="false">G29+L29</f>
        <v>0</v>
      </c>
      <c r="H50" s="49" t="n">
        <f aca="false">SUM(C50:G50)</f>
        <v>49743.79</v>
      </c>
      <c r="I50" s="49" t="n">
        <f aca="false">M29+R29+W29+AB29+AG29</f>
        <v>75013.37</v>
      </c>
      <c r="J50" s="49" t="n">
        <f aca="false">N29+S29+X29+AC29+AH29</f>
        <v>77301.13</v>
      </c>
      <c r="K50" s="49" t="n">
        <f aca="false">O29+T29+Y29+AD29+AI29</f>
        <v>0</v>
      </c>
      <c r="L50" s="49" t="n">
        <f aca="false">P29+U29+Z29+AE29+AJ29</f>
        <v>0</v>
      </c>
      <c r="M50" s="49" t="n">
        <f aca="false">Q29+V29+AA29+AF29+AK29</f>
        <v>0</v>
      </c>
      <c r="N50" s="49" t="n">
        <f aca="false">SUM(I50:M50)</f>
        <v>152314.5</v>
      </c>
      <c r="O50" s="49" t="n">
        <f aca="false">H50+N50</f>
        <v>202058.29</v>
      </c>
      <c r="Q50" s="14"/>
      <c r="R50" s="56"/>
      <c r="S50" s="55"/>
      <c r="T50" s="55"/>
      <c r="U50" s="55"/>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row>
    <row r="51" customFormat="false" ht="12.75" hidden="false" customHeight="true" outlineLevel="0" collapsed="false">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row>
    <row r="52" customFormat="false" ht="12.75" hidden="false" customHeight="true" outlineLevel="0" collapsed="false">
      <c r="B52" s="14"/>
      <c r="C52" s="14"/>
      <c r="D52" s="14"/>
      <c r="E52" s="14"/>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row>
  </sheetData>
  <mergeCells count="31">
    <mergeCell ref="B1:BF1"/>
    <mergeCell ref="B3:C3"/>
    <mergeCell ref="D3:O3"/>
    <mergeCell ref="B4:C4"/>
    <mergeCell ref="D4:O4"/>
    <mergeCell ref="B5:C5"/>
    <mergeCell ref="D5:O5"/>
    <mergeCell ref="B6:C6"/>
    <mergeCell ref="D6:O6"/>
    <mergeCell ref="B8:BF8"/>
    <mergeCell ref="C12:G12"/>
    <mergeCell ref="H12:L12"/>
    <mergeCell ref="M12:Q12"/>
    <mergeCell ref="R12:V12"/>
    <mergeCell ref="W12:AA12"/>
    <mergeCell ref="AB12:AF12"/>
    <mergeCell ref="AG12:AK12"/>
    <mergeCell ref="AL12:AP12"/>
    <mergeCell ref="AQ12:AU12"/>
    <mergeCell ref="AV12:AZ12"/>
    <mergeCell ref="BA12:BE12"/>
    <mergeCell ref="BF12:BF13"/>
    <mergeCell ref="B30:B31"/>
    <mergeCell ref="B32:B33"/>
    <mergeCell ref="C32:H32"/>
    <mergeCell ref="I32:N32"/>
    <mergeCell ref="O32:O34"/>
    <mergeCell ref="H33:H34"/>
    <mergeCell ref="N33:N34"/>
    <mergeCell ref="C34:G34"/>
    <mergeCell ref="I34:M34"/>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R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V86" activeCellId="0" sqref="V86"/>
    </sheetView>
  </sheetViews>
  <sheetFormatPr defaultColWidth="10.6796875" defaultRowHeight="16.5" customHeight="true" zeroHeight="false" outlineLevelRow="0" outlineLevelCol="0"/>
  <cols>
    <col collapsed="false" customWidth="true" hidden="false" outlineLevel="0" max="1" min="1" style="59" width="3.15"/>
    <col collapsed="false" customWidth="true" hidden="false" outlineLevel="0" max="2" min="2" style="1" width="22.71"/>
    <col collapsed="false" customWidth="true" hidden="false" outlineLevel="0" max="3" min="3" style="1" width="16.14"/>
    <col collapsed="false" customWidth="true" hidden="false" outlineLevel="0" max="5" min="4" style="1" width="15"/>
    <col collapsed="false" customWidth="true" hidden="false" outlineLevel="0" max="6" min="6" style="1" width="19.29"/>
    <col collapsed="false" customWidth="true" hidden="false" outlineLevel="0" max="7" min="7" style="1" width="15.57"/>
    <col collapsed="false" customWidth="true" hidden="false" outlineLevel="0" max="8" min="8" style="1" width="20.42"/>
    <col collapsed="false" customWidth="true" hidden="false" outlineLevel="0" max="11" min="9" style="1" width="15.57"/>
    <col collapsed="false" customWidth="true" hidden="false" outlineLevel="0" max="17" min="12" style="1" width="19.42"/>
    <col collapsed="false" customWidth="true" hidden="false" outlineLevel="0" max="18" min="18" style="1" width="15.57"/>
    <col collapsed="false" customWidth="true" hidden="false" outlineLevel="0" max="19" min="19" style="1" width="3.15"/>
    <col collapsed="false" customWidth="true" hidden="false" outlineLevel="0" max="20" min="20" style="1" width="22.57"/>
    <col collapsed="false" customWidth="true" hidden="false" outlineLevel="0" max="22" min="21" style="1" width="15"/>
    <col collapsed="false" customWidth="true" hidden="false" outlineLevel="0" max="23" min="23" style="1" width="21"/>
    <col collapsed="false" customWidth="true" hidden="false" outlineLevel="0" max="24" min="24" style="60" width="15"/>
    <col collapsed="false" customWidth="true" hidden="false" outlineLevel="0" max="25" min="25" style="1" width="30.43"/>
    <col collapsed="false" customWidth="true" hidden="false" outlineLevel="0" max="27" min="26" style="1" width="15"/>
    <col collapsed="false" customWidth="true" hidden="false" outlineLevel="0" max="28" min="28" style="1" width="22.71"/>
    <col collapsed="false" customWidth="true" hidden="false" outlineLevel="0" max="29" min="29" style="1" width="5.57"/>
  </cols>
  <sheetData>
    <row r="1" customFormat="false" ht="22.5" hidden="false" customHeight="true" outlineLevel="0" collapsed="false">
      <c r="B1" s="13" t="s">
        <v>67</v>
      </c>
      <c r="C1" s="13"/>
      <c r="D1" s="13"/>
      <c r="E1" s="13"/>
      <c r="F1" s="13"/>
      <c r="G1" s="13"/>
      <c r="H1" s="13"/>
      <c r="I1" s="13"/>
      <c r="J1" s="13"/>
      <c r="K1" s="13"/>
      <c r="L1" s="13"/>
      <c r="M1" s="13"/>
      <c r="N1" s="13"/>
      <c r="O1" s="13"/>
      <c r="P1" s="13"/>
      <c r="Q1" s="13"/>
      <c r="R1" s="13"/>
      <c r="S1" s="13"/>
      <c r="T1" s="13"/>
      <c r="U1" s="13"/>
      <c r="V1" s="13"/>
      <c r="W1" s="13"/>
      <c r="X1" s="13"/>
      <c r="Y1" s="13"/>
      <c r="Z1" s="13"/>
      <c r="AA1" s="13"/>
      <c r="AB1" s="13"/>
      <c r="AC1" s="59"/>
    </row>
    <row r="2" s="14" customFormat="true" ht="19.5" hidden="false" customHeight="true" outlineLevel="0" collapsed="false">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row>
    <row r="3" s="24" customFormat="true" ht="15.75" hidden="false" customHeight="true" outlineLevel="0" collapsed="false">
      <c r="B3" s="61" t="s">
        <v>4</v>
      </c>
      <c r="C3" s="61"/>
      <c r="D3" s="16" t="s">
        <v>5</v>
      </c>
      <c r="E3" s="16"/>
      <c r="F3" s="16"/>
      <c r="G3" s="16"/>
      <c r="H3" s="16"/>
      <c r="I3" s="16"/>
      <c r="J3" s="16"/>
      <c r="K3" s="16"/>
      <c r="L3" s="16"/>
      <c r="M3" s="16"/>
      <c r="N3" s="16"/>
      <c r="O3" s="16"/>
      <c r="P3" s="16"/>
      <c r="Q3" s="16"/>
      <c r="R3" s="16"/>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row>
    <row r="4" s="24" customFormat="true" ht="51.75" hidden="false" customHeight="true" outlineLevel="0" collapsed="false">
      <c r="B4" s="61" t="s">
        <v>68</v>
      </c>
      <c r="C4" s="61"/>
      <c r="D4" s="16" t="s">
        <v>7</v>
      </c>
      <c r="E4" s="16"/>
      <c r="F4" s="16"/>
      <c r="G4" s="16"/>
      <c r="H4" s="16"/>
      <c r="I4" s="16"/>
      <c r="J4" s="16"/>
      <c r="K4" s="16"/>
      <c r="L4" s="16"/>
      <c r="M4" s="16"/>
      <c r="N4" s="16"/>
      <c r="O4" s="16"/>
      <c r="P4" s="16"/>
      <c r="Q4" s="16"/>
      <c r="R4" s="16"/>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row>
    <row r="5" s="24" customFormat="true" ht="59.25" hidden="false" customHeight="true" outlineLevel="0" collapsed="false">
      <c r="B5" s="61" t="s">
        <v>69</v>
      </c>
      <c r="C5" s="61"/>
      <c r="D5" s="16" t="s">
        <v>9</v>
      </c>
      <c r="E5" s="16"/>
      <c r="F5" s="16"/>
      <c r="G5" s="16"/>
      <c r="H5" s="16"/>
      <c r="I5" s="16"/>
      <c r="J5" s="16"/>
      <c r="K5" s="16"/>
      <c r="L5" s="16"/>
      <c r="M5" s="16"/>
      <c r="N5" s="16"/>
      <c r="O5" s="16"/>
      <c r="P5" s="16"/>
      <c r="Q5" s="16"/>
      <c r="R5" s="16"/>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row>
    <row r="6" s="24" customFormat="true" ht="35.25" hidden="false" customHeight="true" outlineLevel="0" collapsed="false">
      <c r="B6" s="61" t="s">
        <v>70</v>
      </c>
      <c r="C6" s="61"/>
      <c r="D6" s="16" t="s">
        <v>11</v>
      </c>
      <c r="E6" s="16"/>
      <c r="F6" s="16"/>
      <c r="G6" s="16"/>
      <c r="H6" s="16"/>
      <c r="I6" s="16"/>
      <c r="J6" s="16"/>
      <c r="K6" s="16"/>
      <c r="L6" s="16"/>
      <c r="M6" s="16"/>
      <c r="N6" s="16"/>
      <c r="O6" s="16"/>
      <c r="P6" s="16"/>
      <c r="Q6" s="16"/>
      <c r="R6" s="16"/>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row>
    <row r="7" s="24" customFormat="true" ht="12.75" hidden="false" customHeight="true" outlineLevel="0" collapsed="false">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row>
    <row r="8" customFormat="false" ht="16.5" hidden="false" customHeight="true" outlineLevel="0" collapsed="false">
      <c r="B8" s="62" t="s">
        <v>71</v>
      </c>
      <c r="C8" s="62"/>
      <c r="D8" s="62"/>
      <c r="E8" s="62"/>
      <c r="F8" s="62"/>
      <c r="G8" s="62"/>
      <c r="H8" s="62"/>
      <c r="I8" s="62"/>
      <c r="J8" s="62"/>
      <c r="K8" s="62"/>
      <c r="L8" s="62"/>
      <c r="M8" s="62"/>
      <c r="N8" s="62"/>
      <c r="O8" s="62"/>
      <c r="P8" s="62"/>
      <c r="Q8" s="62"/>
      <c r="R8" s="62"/>
      <c r="S8" s="62"/>
      <c r="T8" s="62"/>
      <c r="U8" s="62"/>
      <c r="V8" s="62"/>
      <c r="W8" s="62"/>
      <c r="X8" s="62"/>
      <c r="Y8" s="62"/>
      <c r="Z8" s="62"/>
      <c r="AA8" s="62"/>
      <c r="AB8" s="62"/>
      <c r="AC8" s="59"/>
    </row>
    <row r="9" s="59" customFormat="true" ht="15" hidden="false" customHeight="true" outlineLevel="0" collapsed="false">
      <c r="B9" s="63"/>
      <c r="T9" s="63"/>
      <c r="X9" s="64"/>
      <c r="Y9" s="63"/>
    </row>
    <row r="10" s="59" customFormat="true" ht="15" hidden="false" customHeight="true" outlineLevel="0" collapsed="false">
      <c r="B10" s="65" t="s">
        <v>72</v>
      </c>
      <c r="C10" s="65"/>
      <c r="D10" s="65"/>
      <c r="E10" s="65"/>
      <c r="F10" s="65"/>
      <c r="G10" s="65"/>
      <c r="H10" s="65"/>
      <c r="T10" s="63"/>
      <c r="X10" s="64"/>
      <c r="Y10" s="63"/>
    </row>
    <row r="11" s="59" customFormat="true" ht="15" hidden="false" customHeight="true" outlineLevel="0" collapsed="false">
      <c r="B11" s="63"/>
      <c r="T11" s="63"/>
      <c r="X11" s="64"/>
      <c r="Y11" s="63"/>
    </row>
    <row r="12" s="59" customFormat="true" ht="15" hidden="false" customHeight="true" outlineLevel="0" collapsed="false">
      <c r="B12" s="66" t="s">
        <v>73</v>
      </c>
      <c r="T12" s="63"/>
      <c r="X12" s="64"/>
      <c r="Y12" s="63"/>
    </row>
    <row r="13" s="59" customFormat="true" ht="9.75" hidden="false" customHeight="true" outlineLevel="0" collapsed="false">
      <c r="B13" s="63"/>
      <c r="T13" s="63"/>
      <c r="X13" s="64"/>
      <c r="Y13" s="63"/>
    </row>
    <row r="14" s="59" customFormat="true" ht="16.5" hidden="false" customHeight="true" outlineLevel="0" collapsed="false">
      <c r="B14" s="63" t="s">
        <v>74</v>
      </c>
      <c r="H14" s="63" t="s">
        <v>75</v>
      </c>
      <c r="N14" s="63" t="s">
        <v>76</v>
      </c>
      <c r="T14" s="63" t="s">
        <v>77</v>
      </c>
      <c r="X14" s="64"/>
      <c r="Y14" s="63" t="s">
        <v>78</v>
      </c>
    </row>
    <row r="15" s="59" customFormat="true" ht="9" hidden="false" customHeight="true" outlineLevel="0" collapsed="false">
      <c r="B15" s="63"/>
      <c r="N15" s="63"/>
      <c r="T15" s="63"/>
      <c r="X15" s="64"/>
      <c r="Y15" s="63"/>
    </row>
    <row r="16" customFormat="false" ht="16.5" hidden="false" customHeight="true" outlineLevel="0" collapsed="false">
      <c r="B16" s="67" t="s">
        <v>79</v>
      </c>
      <c r="C16" s="67"/>
      <c r="D16" s="67"/>
      <c r="E16" s="67"/>
      <c r="F16" s="59"/>
      <c r="G16" s="59"/>
      <c r="H16" s="67" t="s">
        <v>79</v>
      </c>
      <c r="I16" s="67"/>
      <c r="J16" s="67"/>
      <c r="K16" s="67"/>
      <c r="L16" s="68"/>
      <c r="M16" s="69"/>
      <c r="N16" s="67" t="s">
        <v>79</v>
      </c>
      <c r="O16" s="67"/>
      <c r="P16" s="67"/>
      <c r="Q16" s="67"/>
      <c r="R16" s="59"/>
      <c r="S16" s="59"/>
      <c r="T16" s="67" t="s">
        <v>79</v>
      </c>
      <c r="U16" s="67"/>
      <c r="V16" s="67"/>
      <c r="W16" s="67"/>
      <c r="X16" s="64"/>
      <c r="Y16" s="67" t="s">
        <v>79</v>
      </c>
      <c r="Z16" s="67"/>
      <c r="AA16" s="67"/>
      <c r="AB16" s="67"/>
      <c r="AC16" s="59"/>
    </row>
    <row r="17" customFormat="false" ht="34.5" hidden="false" customHeight="true" outlineLevel="0" collapsed="false">
      <c r="B17" s="70" t="s">
        <v>80</v>
      </c>
      <c r="C17" s="70" t="s">
        <v>81</v>
      </c>
      <c r="D17" s="70" t="s">
        <v>82</v>
      </c>
      <c r="E17" s="70" t="s">
        <v>83</v>
      </c>
      <c r="F17" s="71"/>
      <c r="G17" s="71"/>
      <c r="H17" s="70" t="s">
        <v>80</v>
      </c>
      <c r="I17" s="70" t="s">
        <v>84</v>
      </c>
      <c r="J17" s="70" t="s">
        <v>82</v>
      </c>
      <c r="K17" s="70" t="s">
        <v>85</v>
      </c>
      <c r="L17" s="69"/>
      <c r="M17" s="69"/>
      <c r="N17" s="70" t="s">
        <v>80</v>
      </c>
      <c r="O17" s="70" t="s">
        <v>86</v>
      </c>
      <c r="P17" s="70" t="s">
        <v>87</v>
      </c>
      <c r="Q17" s="70" t="s">
        <v>88</v>
      </c>
      <c r="R17" s="71"/>
      <c r="S17" s="71"/>
      <c r="T17" s="70" t="s">
        <v>80</v>
      </c>
      <c r="U17" s="70" t="s">
        <v>86</v>
      </c>
      <c r="V17" s="70" t="s">
        <v>87</v>
      </c>
      <c r="W17" s="70" t="s">
        <v>89</v>
      </c>
      <c r="X17" s="71"/>
      <c r="Y17" s="70" t="s">
        <v>80</v>
      </c>
      <c r="Z17" s="70" t="s">
        <v>90</v>
      </c>
      <c r="AA17" s="70" t="s">
        <v>82</v>
      </c>
      <c r="AB17" s="70" t="s">
        <v>91</v>
      </c>
      <c r="AC17" s="59"/>
    </row>
    <row r="18" customFormat="false" ht="16.5" hidden="false" customHeight="true" outlineLevel="0" collapsed="false">
      <c r="B18" s="72" t="s">
        <v>92</v>
      </c>
      <c r="C18" s="73"/>
      <c r="D18" s="72"/>
      <c r="E18" s="74"/>
      <c r="F18" s="69"/>
      <c r="G18" s="69"/>
      <c r="H18" s="72" t="s">
        <v>92</v>
      </c>
      <c r="I18" s="73"/>
      <c r="J18" s="72"/>
      <c r="K18" s="74"/>
      <c r="L18" s="69"/>
      <c r="M18" s="69"/>
      <c r="N18" s="72" t="s">
        <v>92</v>
      </c>
      <c r="O18" s="73" t="n">
        <v>15</v>
      </c>
      <c r="P18" s="73" t="n">
        <v>27.98</v>
      </c>
      <c r="Q18" s="73" t="n">
        <f aca="false">O18*P18</f>
        <v>419.7</v>
      </c>
      <c r="R18" s="69"/>
      <c r="S18" s="69"/>
      <c r="T18" s="72" t="s">
        <v>92</v>
      </c>
      <c r="U18" s="73" t="n">
        <v>6</v>
      </c>
      <c r="V18" s="73" t="n">
        <v>22.81</v>
      </c>
      <c r="W18" s="73" t="n">
        <f aca="false">U18*V18</f>
        <v>136.86</v>
      </c>
      <c r="X18" s="69"/>
      <c r="Y18" s="72" t="s">
        <v>92</v>
      </c>
      <c r="Z18" s="72" t="n">
        <v>27.47</v>
      </c>
      <c r="AA18" s="72" t="n">
        <v>27.98</v>
      </c>
      <c r="AB18" s="72" t="n">
        <f aca="false">Z18*AA18</f>
        <v>768.6106</v>
      </c>
      <c r="AC18" s="59"/>
    </row>
    <row r="19" customFormat="false" ht="16.5" hidden="false" customHeight="true" outlineLevel="0" collapsed="false">
      <c r="B19" s="72"/>
      <c r="C19" s="73"/>
      <c r="D19" s="72"/>
      <c r="E19" s="74"/>
      <c r="F19" s="69"/>
      <c r="G19" s="69"/>
      <c r="H19" s="72"/>
      <c r="I19" s="73"/>
      <c r="J19" s="72"/>
      <c r="K19" s="74"/>
      <c r="L19" s="69"/>
      <c r="M19" s="69"/>
      <c r="N19" s="72"/>
      <c r="O19" s="73" t="n">
        <v>85</v>
      </c>
      <c r="P19" s="73" t="n">
        <v>27.98</v>
      </c>
      <c r="Q19" s="73" t="n">
        <f aca="false">O19*P19</f>
        <v>2378.3</v>
      </c>
      <c r="R19" s="69"/>
      <c r="S19" s="69"/>
      <c r="T19" s="72"/>
      <c r="U19" s="73" t="n">
        <v>280</v>
      </c>
      <c r="V19" s="73" t="n">
        <v>26.3182</v>
      </c>
      <c r="W19" s="73" t="n">
        <f aca="false">U19*V19</f>
        <v>7369.096</v>
      </c>
      <c r="X19" s="69"/>
      <c r="Y19" s="72"/>
      <c r="Z19" s="72" t="n">
        <v>196.53</v>
      </c>
      <c r="AA19" s="72" t="n">
        <v>27.98</v>
      </c>
      <c r="AB19" s="72" t="n">
        <f aca="false">Z19*AA19</f>
        <v>5498.9094</v>
      </c>
      <c r="AC19" s="59"/>
    </row>
    <row r="20" customFormat="false" ht="16.5" hidden="false" customHeight="true" outlineLevel="0" collapsed="false">
      <c r="B20" s="72"/>
      <c r="C20" s="73"/>
      <c r="D20" s="72"/>
      <c r="E20" s="74"/>
      <c r="F20" s="69"/>
      <c r="G20" s="69"/>
      <c r="H20" s="72"/>
      <c r="I20" s="73"/>
      <c r="J20" s="72"/>
      <c r="K20" s="74"/>
      <c r="L20" s="69"/>
      <c r="M20" s="69"/>
      <c r="N20" s="72"/>
      <c r="O20" s="73"/>
      <c r="P20" s="73"/>
      <c r="Q20" s="73"/>
      <c r="R20" s="69"/>
      <c r="S20" s="69"/>
      <c r="T20" s="72"/>
      <c r="U20" s="73"/>
      <c r="V20" s="73"/>
      <c r="W20" s="73"/>
      <c r="X20" s="69"/>
      <c r="Y20" s="72"/>
      <c r="Z20" s="72"/>
      <c r="AA20" s="72"/>
      <c r="AB20" s="72"/>
      <c r="AC20" s="59"/>
    </row>
    <row r="21" customFormat="false" ht="16.5" hidden="false" customHeight="true" outlineLevel="0" collapsed="false">
      <c r="B21" s="72" t="s">
        <v>93</v>
      </c>
      <c r="C21" s="73"/>
      <c r="D21" s="72"/>
      <c r="E21" s="74"/>
      <c r="F21" s="59"/>
      <c r="G21" s="59"/>
      <c r="H21" s="72" t="s">
        <v>93</v>
      </c>
      <c r="I21" s="73"/>
      <c r="J21" s="72"/>
      <c r="K21" s="74"/>
      <c r="L21" s="69"/>
      <c r="M21" s="69"/>
      <c r="N21" s="72" t="s">
        <v>93</v>
      </c>
      <c r="O21" s="73"/>
      <c r="P21" s="73"/>
      <c r="Q21" s="73"/>
      <c r="R21" s="59"/>
      <c r="S21" s="59"/>
      <c r="T21" s="72" t="s">
        <v>93</v>
      </c>
      <c r="U21" s="73"/>
      <c r="V21" s="73"/>
      <c r="W21" s="73"/>
      <c r="X21" s="75"/>
      <c r="Y21" s="72" t="s">
        <v>93</v>
      </c>
      <c r="Z21" s="74"/>
      <c r="AA21" s="74"/>
      <c r="AB21" s="74"/>
      <c r="AC21" s="59"/>
    </row>
    <row r="22" customFormat="false" ht="16.5" hidden="false" customHeight="true" outlineLevel="0" collapsed="false">
      <c r="B22" s="72" t="s">
        <v>94</v>
      </c>
      <c r="C22" s="73"/>
      <c r="D22" s="72"/>
      <c r="E22" s="74"/>
      <c r="F22" s="59"/>
      <c r="G22" s="59"/>
      <c r="H22" s="72" t="s">
        <v>94</v>
      </c>
      <c r="I22" s="73"/>
      <c r="J22" s="72"/>
      <c r="K22" s="74"/>
      <c r="L22" s="69"/>
      <c r="M22" s="69"/>
      <c r="N22" s="72" t="s">
        <v>94</v>
      </c>
      <c r="O22" s="73"/>
      <c r="P22" s="73"/>
      <c r="Q22" s="73"/>
      <c r="R22" s="59"/>
      <c r="S22" s="59"/>
      <c r="T22" s="72" t="s">
        <v>94</v>
      </c>
      <c r="U22" s="73"/>
      <c r="V22" s="73"/>
      <c r="W22" s="73"/>
      <c r="X22" s="75"/>
      <c r="Y22" s="72" t="s">
        <v>94</v>
      </c>
      <c r="Z22" s="74"/>
      <c r="AA22" s="74"/>
      <c r="AB22" s="74"/>
      <c r="AC22" s="59"/>
    </row>
    <row r="23" customFormat="false" ht="16.5" hidden="false" customHeight="true" outlineLevel="0" collapsed="false">
      <c r="B23" s="72" t="s">
        <v>95</v>
      </c>
      <c r="C23" s="73"/>
      <c r="D23" s="76"/>
      <c r="E23" s="77"/>
      <c r="F23" s="78"/>
      <c r="G23" s="78"/>
      <c r="H23" s="72" t="s">
        <v>95</v>
      </c>
      <c r="I23" s="73"/>
      <c r="J23" s="76"/>
      <c r="K23" s="77"/>
      <c r="L23" s="69"/>
      <c r="M23" s="69"/>
      <c r="N23" s="72" t="s">
        <v>95</v>
      </c>
      <c r="O23" s="73"/>
      <c r="P23" s="73"/>
      <c r="Q23" s="73"/>
      <c r="R23" s="78"/>
      <c r="S23" s="78"/>
      <c r="T23" s="72" t="s">
        <v>95</v>
      </c>
      <c r="U23" s="73"/>
      <c r="V23" s="73"/>
      <c r="W23" s="73"/>
      <c r="X23" s="75"/>
      <c r="Y23" s="72" t="s">
        <v>95</v>
      </c>
      <c r="Z23" s="74"/>
      <c r="AA23" s="74"/>
      <c r="AB23" s="74"/>
      <c r="AC23" s="59"/>
    </row>
    <row r="24" customFormat="false" ht="16.5" hidden="false" customHeight="true" outlineLevel="0" collapsed="false">
      <c r="B24" s="72" t="s">
        <v>96</v>
      </c>
      <c r="C24" s="73"/>
      <c r="D24" s="76"/>
      <c r="E24" s="77"/>
      <c r="F24" s="78"/>
      <c r="G24" s="78"/>
      <c r="H24" s="72" t="s">
        <v>96</v>
      </c>
      <c r="I24" s="73"/>
      <c r="J24" s="76"/>
      <c r="K24" s="77"/>
      <c r="L24" s="69"/>
      <c r="M24" s="69"/>
      <c r="N24" s="72" t="s">
        <v>96</v>
      </c>
      <c r="O24" s="73"/>
      <c r="P24" s="73"/>
      <c r="Q24" s="73"/>
      <c r="R24" s="78"/>
      <c r="S24" s="78"/>
      <c r="T24" s="72" t="s">
        <v>96</v>
      </c>
      <c r="U24" s="73"/>
      <c r="V24" s="73"/>
      <c r="W24" s="73"/>
      <c r="X24" s="75"/>
      <c r="Y24" s="72" t="s">
        <v>96</v>
      </c>
      <c r="Z24" s="74"/>
      <c r="AA24" s="74"/>
      <c r="AB24" s="74"/>
      <c r="AC24" s="59"/>
    </row>
    <row r="25" customFormat="false" ht="16.5" hidden="false" customHeight="true" outlineLevel="0" collapsed="false">
      <c r="B25" s="72" t="s">
        <v>97</v>
      </c>
      <c r="C25" s="73"/>
      <c r="D25" s="72"/>
      <c r="E25" s="77"/>
      <c r="F25" s="78"/>
      <c r="G25" s="78"/>
      <c r="H25" s="72" t="s">
        <v>97</v>
      </c>
      <c r="I25" s="73"/>
      <c r="J25" s="72"/>
      <c r="K25" s="77"/>
      <c r="L25" s="69"/>
      <c r="M25" s="69"/>
      <c r="N25" s="72" t="s">
        <v>97</v>
      </c>
      <c r="O25" s="73"/>
      <c r="P25" s="73"/>
      <c r="Q25" s="73"/>
      <c r="R25" s="78"/>
      <c r="S25" s="78"/>
      <c r="T25" s="72" t="s">
        <v>97</v>
      </c>
      <c r="U25" s="73"/>
      <c r="V25" s="73"/>
      <c r="W25" s="73"/>
      <c r="X25" s="75"/>
      <c r="Y25" s="72" t="s">
        <v>97</v>
      </c>
      <c r="Z25" s="74"/>
      <c r="AA25" s="74"/>
      <c r="AB25" s="74"/>
      <c r="AC25" s="59"/>
    </row>
    <row r="26" customFormat="false" ht="16.5" hidden="false" customHeight="true" outlineLevel="0" collapsed="false">
      <c r="B26" s="72" t="s">
        <v>98</v>
      </c>
      <c r="C26" s="73"/>
      <c r="D26" s="72"/>
      <c r="E26" s="77"/>
      <c r="F26" s="78"/>
      <c r="G26" s="78"/>
      <c r="H26" s="72" t="s">
        <v>98</v>
      </c>
      <c r="I26" s="73"/>
      <c r="J26" s="72"/>
      <c r="K26" s="77"/>
      <c r="L26" s="69"/>
      <c r="M26" s="69"/>
      <c r="N26" s="72" t="s">
        <v>98</v>
      </c>
      <c r="O26" s="73"/>
      <c r="P26" s="73"/>
      <c r="Q26" s="73"/>
      <c r="R26" s="78"/>
      <c r="S26" s="78"/>
      <c r="T26" s="72" t="s">
        <v>98</v>
      </c>
      <c r="U26" s="73"/>
      <c r="V26" s="73"/>
      <c r="W26" s="73"/>
      <c r="X26" s="75"/>
      <c r="Y26" s="72" t="s">
        <v>98</v>
      </c>
      <c r="Z26" s="74"/>
      <c r="AA26" s="74"/>
      <c r="AB26" s="74"/>
      <c r="AC26" s="59"/>
    </row>
    <row r="27" customFormat="false" ht="16.5" hidden="false" customHeight="true" outlineLevel="0" collapsed="false">
      <c r="B27" s="72" t="s">
        <v>99</v>
      </c>
      <c r="C27" s="73"/>
      <c r="D27" s="72"/>
      <c r="E27" s="77"/>
      <c r="F27" s="78"/>
      <c r="G27" s="78"/>
      <c r="H27" s="72" t="s">
        <v>99</v>
      </c>
      <c r="I27" s="73"/>
      <c r="J27" s="72"/>
      <c r="K27" s="77"/>
      <c r="L27" s="69"/>
      <c r="M27" s="69"/>
      <c r="N27" s="72" t="s">
        <v>99</v>
      </c>
      <c r="O27" s="73"/>
      <c r="P27" s="73"/>
      <c r="Q27" s="73"/>
      <c r="R27" s="78"/>
      <c r="S27" s="78"/>
      <c r="T27" s="72" t="s">
        <v>99</v>
      </c>
      <c r="U27" s="73"/>
      <c r="V27" s="73"/>
      <c r="W27" s="73"/>
      <c r="X27" s="75"/>
      <c r="Y27" s="72" t="s">
        <v>99</v>
      </c>
      <c r="Z27" s="74"/>
      <c r="AA27" s="74"/>
      <c r="AB27" s="74"/>
      <c r="AC27" s="59"/>
    </row>
    <row r="28" customFormat="false" ht="16.5" hidden="false" customHeight="true" outlineLevel="0" collapsed="false">
      <c r="B28" s="72" t="s">
        <v>100</v>
      </c>
      <c r="C28" s="73"/>
      <c r="D28" s="72"/>
      <c r="E28" s="77"/>
      <c r="F28" s="78"/>
      <c r="G28" s="78"/>
      <c r="H28" s="72" t="s">
        <v>100</v>
      </c>
      <c r="I28" s="73"/>
      <c r="J28" s="72"/>
      <c r="K28" s="77"/>
      <c r="L28" s="69"/>
      <c r="M28" s="69"/>
      <c r="N28" s="72" t="s">
        <v>100</v>
      </c>
      <c r="O28" s="73"/>
      <c r="P28" s="73"/>
      <c r="Q28" s="73"/>
      <c r="R28" s="78"/>
      <c r="S28" s="78"/>
      <c r="T28" s="72" t="s">
        <v>100</v>
      </c>
      <c r="U28" s="73"/>
      <c r="V28" s="73"/>
      <c r="W28" s="73"/>
      <c r="X28" s="78"/>
      <c r="Y28" s="72" t="s">
        <v>100</v>
      </c>
      <c r="Z28" s="74"/>
      <c r="AA28" s="74"/>
      <c r="AB28" s="74"/>
      <c r="AC28" s="59"/>
    </row>
    <row r="29" customFormat="false" ht="16.5" hidden="false" customHeight="true" outlineLevel="0" collapsed="false">
      <c r="B29" s="72" t="s">
        <v>101</v>
      </c>
      <c r="C29" s="73"/>
      <c r="D29" s="72"/>
      <c r="E29" s="77"/>
      <c r="F29" s="78"/>
      <c r="G29" s="78"/>
      <c r="H29" s="72" t="s">
        <v>101</v>
      </c>
      <c r="I29" s="73"/>
      <c r="J29" s="72"/>
      <c r="K29" s="77"/>
      <c r="L29" s="69"/>
      <c r="M29" s="69"/>
      <c r="N29" s="72" t="s">
        <v>101</v>
      </c>
      <c r="O29" s="73"/>
      <c r="P29" s="73"/>
      <c r="Q29" s="73"/>
      <c r="R29" s="78"/>
      <c r="S29" s="78"/>
      <c r="T29" s="72" t="s">
        <v>101</v>
      </c>
      <c r="U29" s="73"/>
      <c r="V29" s="73"/>
      <c r="W29" s="73"/>
      <c r="X29" s="78"/>
      <c r="Y29" s="72" t="s">
        <v>101</v>
      </c>
      <c r="Z29" s="74"/>
      <c r="AA29" s="74"/>
      <c r="AB29" s="74"/>
      <c r="AC29" s="59"/>
    </row>
    <row r="30" customFormat="false" ht="16.5" hidden="false" customHeight="true" outlineLevel="0" collapsed="false">
      <c r="B30" s="72" t="s">
        <v>102</v>
      </c>
      <c r="C30" s="73"/>
      <c r="D30" s="72"/>
      <c r="E30" s="77"/>
      <c r="F30" s="78"/>
      <c r="G30" s="78"/>
      <c r="H30" s="72" t="s">
        <v>102</v>
      </c>
      <c r="I30" s="73"/>
      <c r="J30" s="72"/>
      <c r="K30" s="77"/>
      <c r="L30" s="69"/>
      <c r="M30" s="69"/>
      <c r="N30" s="72" t="s">
        <v>102</v>
      </c>
      <c r="O30" s="73"/>
      <c r="P30" s="73"/>
      <c r="Q30" s="73"/>
      <c r="R30" s="78"/>
      <c r="S30" s="78"/>
      <c r="T30" s="72" t="s">
        <v>102</v>
      </c>
      <c r="U30" s="73"/>
      <c r="V30" s="73"/>
      <c r="W30" s="73"/>
      <c r="X30" s="78"/>
      <c r="Y30" s="72" t="s">
        <v>102</v>
      </c>
      <c r="Z30" s="74"/>
      <c r="AA30" s="74"/>
      <c r="AB30" s="74"/>
      <c r="AC30" s="59"/>
    </row>
    <row r="31" customFormat="false" ht="16.5" hidden="false" customHeight="true" outlineLevel="0" collapsed="false">
      <c r="B31" s="79" t="s">
        <v>21</v>
      </c>
      <c r="C31" s="73" t="n">
        <f aca="false">SUM(C18:C27)</f>
        <v>0</v>
      </c>
      <c r="D31" s="79" t="s">
        <v>21</v>
      </c>
      <c r="E31" s="80" t="n">
        <f aca="false">SUM(E18:E27)</f>
        <v>0</v>
      </c>
      <c r="F31" s="59"/>
      <c r="G31" s="59"/>
      <c r="H31" s="79" t="s">
        <v>21</v>
      </c>
      <c r="I31" s="73" t="n">
        <f aca="false">SUM(I18:I27)</f>
        <v>0</v>
      </c>
      <c r="J31" s="79" t="s">
        <v>21</v>
      </c>
      <c r="K31" s="80" t="n">
        <f aca="false">SUM(K18:K27)</f>
        <v>0</v>
      </c>
      <c r="L31" s="69"/>
      <c r="M31" s="69"/>
      <c r="N31" s="79" t="s">
        <v>21</v>
      </c>
      <c r="O31" s="73" t="n">
        <f aca="false">SUM(O18:O27)</f>
        <v>100</v>
      </c>
      <c r="P31" s="79" t="s">
        <v>21</v>
      </c>
      <c r="Q31" s="73" t="n">
        <f aca="false">SUM(Q18:Q27)</f>
        <v>2798</v>
      </c>
      <c r="R31" s="59"/>
      <c r="S31" s="59"/>
      <c r="T31" s="79" t="s">
        <v>21</v>
      </c>
      <c r="U31" s="73" t="n">
        <f aca="false">SUM(U18:U27)</f>
        <v>286</v>
      </c>
      <c r="V31" s="79" t="s">
        <v>21</v>
      </c>
      <c r="W31" s="73" t="n">
        <f aca="false">SUM(W18:W27)</f>
        <v>7505.956</v>
      </c>
      <c r="X31" s="78"/>
      <c r="Y31" s="79" t="s">
        <v>21</v>
      </c>
      <c r="Z31" s="73" t="n">
        <f aca="false">SUM(Z18:Z27)</f>
        <v>224</v>
      </c>
      <c r="AA31" s="79" t="s">
        <v>21</v>
      </c>
      <c r="AB31" s="73" t="n">
        <f aca="false">SUM(AB18:AB27)</f>
        <v>6267.52</v>
      </c>
      <c r="AC31" s="59"/>
    </row>
    <row r="32" s="59" customFormat="true" ht="16.5" hidden="false" customHeight="true" outlineLevel="0" collapsed="false">
      <c r="B32" s="81" t="s">
        <v>103</v>
      </c>
      <c r="M32" s="69"/>
    </row>
    <row r="33" s="59" customFormat="true" ht="16.5" hidden="false" customHeight="true" outlineLevel="0" collapsed="false">
      <c r="M33" s="69"/>
    </row>
    <row r="34" customFormat="false" ht="45" hidden="false" customHeight="true" outlineLevel="0" collapsed="false">
      <c r="B34" s="70" t="s">
        <v>104</v>
      </c>
      <c r="C34" s="70" t="s">
        <v>105</v>
      </c>
      <c r="D34" s="70" t="s">
        <v>106</v>
      </c>
      <c r="E34" s="70" t="s">
        <v>107</v>
      </c>
      <c r="F34" s="70" t="s">
        <v>108</v>
      </c>
      <c r="G34" s="78"/>
      <c r="H34" s="70" t="s">
        <v>104</v>
      </c>
      <c r="I34" s="70" t="s">
        <v>105</v>
      </c>
      <c r="J34" s="70" t="s">
        <v>106</v>
      </c>
      <c r="K34" s="70" t="s">
        <v>107</v>
      </c>
      <c r="L34" s="70" t="s">
        <v>109</v>
      </c>
      <c r="M34" s="69"/>
      <c r="N34" s="70" t="s">
        <v>104</v>
      </c>
      <c r="O34" s="70" t="s">
        <v>110</v>
      </c>
      <c r="P34" s="70" t="s">
        <v>107</v>
      </c>
      <c r="Q34" s="70" t="s">
        <v>111</v>
      </c>
      <c r="R34" s="78"/>
      <c r="S34" s="59"/>
      <c r="T34" s="70" t="s">
        <v>104</v>
      </c>
      <c r="U34" s="70" t="s">
        <v>110</v>
      </c>
      <c r="V34" s="70" t="s">
        <v>107</v>
      </c>
      <c r="W34" s="70" t="s">
        <v>112</v>
      </c>
      <c r="X34" s="59"/>
      <c r="Y34" s="70" t="s">
        <v>104</v>
      </c>
      <c r="Z34" s="70" t="s">
        <v>110</v>
      </c>
      <c r="AA34" s="70" t="s">
        <v>107</v>
      </c>
      <c r="AB34" s="70" t="s">
        <v>113</v>
      </c>
      <c r="AC34" s="59"/>
    </row>
    <row r="35" customFormat="false" ht="19.5" hidden="false" customHeight="true" outlineLevel="0" collapsed="false">
      <c r="B35" s="82" t="s">
        <v>114</v>
      </c>
      <c r="C35" s="83"/>
      <c r="D35" s="82" t="s">
        <v>92</v>
      </c>
      <c r="E35" s="72"/>
      <c r="F35" s="84"/>
      <c r="G35" s="78"/>
      <c r="H35" s="82" t="s">
        <v>115</v>
      </c>
      <c r="I35" s="83"/>
      <c r="J35" s="82" t="s">
        <v>92</v>
      </c>
      <c r="K35" s="72"/>
      <c r="L35" s="84"/>
      <c r="M35" s="69"/>
      <c r="N35" s="72" t="s">
        <v>114</v>
      </c>
      <c r="O35" s="82" t="s">
        <v>92</v>
      </c>
      <c r="P35" s="74"/>
      <c r="Q35" s="84"/>
      <c r="R35" s="78"/>
      <c r="S35" s="59"/>
      <c r="T35" s="72" t="s">
        <v>115</v>
      </c>
      <c r="U35" s="82" t="s">
        <v>92</v>
      </c>
      <c r="V35" s="74"/>
      <c r="W35" s="84"/>
      <c r="X35" s="59"/>
      <c r="Y35" s="82" t="s">
        <v>116</v>
      </c>
      <c r="Z35" s="82" t="s">
        <v>92</v>
      </c>
      <c r="AA35" s="85"/>
      <c r="AB35" s="84"/>
      <c r="AC35" s="59"/>
    </row>
    <row r="36" customFormat="false" ht="19.5" hidden="false" customHeight="true" outlineLevel="0" collapsed="false">
      <c r="B36" s="82"/>
      <c r="C36" s="83"/>
      <c r="D36" s="82" t="s">
        <v>93</v>
      </c>
      <c r="E36" s="72"/>
      <c r="F36" s="84"/>
      <c r="G36" s="78"/>
      <c r="H36" s="82"/>
      <c r="I36" s="83"/>
      <c r="J36" s="82" t="s">
        <v>93</v>
      </c>
      <c r="K36" s="72"/>
      <c r="L36" s="84"/>
      <c r="M36" s="69"/>
      <c r="N36" s="72"/>
      <c r="O36" s="82" t="s">
        <v>93</v>
      </c>
      <c r="P36" s="74"/>
      <c r="Q36" s="84"/>
      <c r="R36" s="78"/>
      <c r="S36" s="59"/>
      <c r="T36" s="72"/>
      <c r="U36" s="82" t="s">
        <v>93</v>
      </c>
      <c r="V36" s="74"/>
      <c r="W36" s="84"/>
      <c r="X36" s="59"/>
      <c r="Y36" s="82"/>
      <c r="Z36" s="82" t="s">
        <v>93</v>
      </c>
      <c r="AA36" s="85"/>
      <c r="AB36" s="84"/>
      <c r="AC36" s="59"/>
    </row>
    <row r="37" customFormat="false" ht="19.5" hidden="false" customHeight="true" outlineLevel="0" collapsed="false">
      <c r="B37" s="82"/>
      <c r="C37" s="83"/>
      <c r="D37" s="82" t="s">
        <v>117</v>
      </c>
      <c r="E37" s="72"/>
      <c r="F37" s="84"/>
      <c r="G37" s="78"/>
      <c r="H37" s="82"/>
      <c r="I37" s="83"/>
      <c r="J37" s="82" t="s">
        <v>117</v>
      </c>
      <c r="K37" s="72"/>
      <c r="L37" s="84"/>
      <c r="M37" s="69"/>
      <c r="N37" s="72"/>
      <c r="O37" s="82" t="s">
        <v>117</v>
      </c>
      <c r="P37" s="74"/>
      <c r="Q37" s="84"/>
      <c r="R37" s="78"/>
      <c r="S37" s="59"/>
      <c r="T37" s="72"/>
      <c r="U37" s="82" t="s">
        <v>117</v>
      </c>
      <c r="V37" s="74"/>
      <c r="W37" s="84"/>
      <c r="X37" s="59"/>
      <c r="Y37" s="82"/>
      <c r="Z37" s="82" t="s">
        <v>117</v>
      </c>
      <c r="AA37" s="85"/>
      <c r="AB37" s="84"/>
      <c r="AC37" s="59"/>
    </row>
    <row r="38" customFormat="false" ht="19.5" hidden="false" customHeight="true" outlineLevel="0" collapsed="false">
      <c r="B38" s="72" t="s">
        <v>118</v>
      </c>
      <c r="C38" s="86"/>
      <c r="D38" s="82" t="s">
        <v>117</v>
      </c>
      <c r="E38" s="72"/>
      <c r="F38" s="84"/>
      <c r="G38" s="78"/>
      <c r="H38" s="72" t="s">
        <v>119</v>
      </c>
      <c r="I38" s="86"/>
      <c r="J38" s="82" t="s">
        <v>117</v>
      </c>
      <c r="K38" s="72"/>
      <c r="L38" s="84"/>
      <c r="M38" s="69"/>
      <c r="N38" s="72" t="s">
        <v>118</v>
      </c>
      <c r="O38" s="82" t="s">
        <v>117</v>
      </c>
      <c r="P38" s="74"/>
      <c r="Q38" s="84"/>
      <c r="R38" s="78"/>
      <c r="S38" s="59"/>
      <c r="T38" s="72" t="s">
        <v>119</v>
      </c>
      <c r="U38" s="82" t="s">
        <v>117</v>
      </c>
      <c r="V38" s="74"/>
      <c r="W38" s="84"/>
      <c r="X38" s="59"/>
      <c r="Y38" s="82" t="s">
        <v>120</v>
      </c>
      <c r="Z38" s="82" t="s">
        <v>117</v>
      </c>
      <c r="AA38" s="85"/>
      <c r="AB38" s="84"/>
      <c r="AC38" s="59"/>
    </row>
    <row r="39" customFormat="false" ht="19.5" hidden="false" customHeight="true" outlineLevel="0" collapsed="false">
      <c r="B39" s="72" t="s">
        <v>121</v>
      </c>
      <c r="C39" s="86"/>
      <c r="D39" s="82" t="s">
        <v>117</v>
      </c>
      <c r="E39" s="72"/>
      <c r="F39" s="84"/>
      <c r="G39" s="78"/>
      <c r="H39" s="72" t="s">
        <v>122</v>
      </c>
      <c r="I39" s="86"/>
      <c r="J39" s="82" t="s">
        <v>117</v>
      </c>
      <c r="K39" s="72"/>
      <c r="L39" s="84"/>
      <c r="M39" s="69"/>
      <c r="N39" s="72" t="s">
        <v>121</v>
      </c>
      <c r="O39" s="82" t="s">
        <v>117</v>
      </c>
      <c r="P39" s="74"/>
      <c r="Q39" s="84"/>
      <c r="R39" s="78"/>
      <c r="S39" s="59"/>
      <c r="T39" s="72" t="s">
        <v>122</v>
      </c>
      <c r="U39" s="82" t="s">
        <v>117</v>
      </c>
      <c r="V39" s="74"/>
      <c r="W39" s="84"/>
      <c r="X39" s="87"/>
      <c r="Y39" s="82" t="s">
        <v>123</v>
      </c>
      <c r="Z39" s="82" t="s">
        <v>117</v>
      </c>
      <c r="AA39" s="85"/>
      <c r="AB39" s="84"/>
      <c r="AC39" s="59"/>
    </row>
    <row r="40" customFormat="false" ht="19.5" hidden="false" customHeight="true" outlineLevel="0" collapsed="false">
      <c r="B40" s="72" t="s">
        <v>124</v>
      </c>
      <c r="C40" s="86"/>
      <c r="D40" s="82" t="s">
        <v>117</v>
      </c>
      <c r="E40" s="72"/>
      <c r="F40" s="84"/>
      <c r="G40" s="78"/>
      <c r="H40" s="72" t="s">
        <v>125</v>
      </c>
      <c r="I40" s="86"/>
      <c r="J40" s="82" t="s">
        <v>117</v>
      </c>
      <c r="K40" s="72"/>
      <c r="L40" s="88"/>
      <c r="M40" s="69"/>
      <c r="N40" s="72" t="s">
        <v>124</v>
      </c>
      <c r="O40" s="82" t="s">
        <v>117</v>
      </c>
      <c r="P40" s="74"/>
      <c r="Q40" s="88"/>
      <c r="R40" s="78"/>
      <c r="S40" s="59"/>
      <c r="T40" s="72" t="s">
        <v>125</v>
      </c>
      <c r="U40" s="82" t="s">
        <v>117</v>
      </c>
      <c r="V40" s="74"/>
      <c r="W40" s="88"/>
      <c r="X40" s="87"/>
      <c r="Y40" s="82" t="s">
        <v>126</v>
      </c>
      <c r="Z40" s="82" t="s">
        <v>117</v>
      </c>
      <c r="AA40" s="85"/>
      <c r="AB40" s="88"/>
      <c r="AC40" s="59"/>
    </row>
    <row r="41" customFormat="false" ht="16.5" hidden="false" customHeight="true" outlineLevel="0" collapsed="false">
      <c r="B41" s="89" t="s">
        <v>127</v>
      </c>
      <c r="C41" s="86"/>
      <c r="D41" s="72"/>
      <c r="E41" s="72"/>
      <c r="F41" s="84"/>
      <c r="G41" s="78"/>
      <c r="H41" s="72" t="s">
        <v>102</v>
      </c>
      <c r="I41" s="86"/>
      <c r="J41" s="72"/>
      <c r="K41" s="72"/>
      <c r="L41" s="90"/>
      <c r="M41" s="69"/>
      <c r="N41" s="72" t="s">
        <v>102</v>
      </c>
      <c r="O41" s="82"/>
      <c r="P41" s="74"/>
      <c r="Q41" s="90"/>
      <c r="R41" s="78"/>
      <c r="S41" s="59"/>
      <c r="T41" s="72" t="s">
        <v>102</v>
      </c>
      <c r="U41" s="82"/>
      <c r="V41" s="74"/>
      <c r="W41" s="90"/>
      <c r="X41" s="87"/>
      <c r="Y41" s="72" t="s">
        <v>102</v>
      </c>
      <c r="Z41" s="82"/>
      <c r="AA41" s="74"/>
      <c r="AB41" s="90"/>
      <c r="AC41" s="59"/>
    </row>
    <row r="42" customFormat="false" ht="16.5" hidden="false" customHeight="true" outlineLevel="0" collapsed="false">
      <c r="B42" s="91"/>
      <c r="C42" s="64"/>
      <c r="D42" s="91"/>
      <c r="E42" s="79" t="s">
        <v>39</v>
      </c>
      <c r="F42" s="92" t="n">
        <f aca="false">SUM(F35:F41)</f>
        <v>0</v>
      </c>
      <c r="G42" s="93"/>
      <c r="H42" s="91"/>
      <c r="I42" s="64"/>
      <c r="J42" s="91"/>
      <c r="K42" s="79" t="s">
        <v>39</v>
      </c>
      <c r="L42" s="92" t="n">
        <f aca="false">SUM(L35:L41)</f>
        <v>0</v>
      </c>
      <c r="M42" s="69"/>
      <c r="N42" s="91"/>
      <c r="O42" s="91"/>
      <c r="P42" s="79" t="s">
        <v>39</v>
      </c>
      <c r="Q42" s="92" t="n">
        <f aca="false">SUM(Q35:Q41)</f>
        <v>0</v>
      </c>
      <c r="R42" s="93"/>
      <c r="S42" s="59"/>
      <c r="T42" s="91"/>
      <c r="U42" s="91"/>
      <c r="V42" s="79" t="s">
        <v>39</v>
      </c>
      <c r="W42" s="92" t="n">
        <f aca="false">SUM(W35:W41)</f>
        <v>0</v>
      </c>
      <c r="X42" s="94"/>
      <c r="Y42" s="91"/>
      <c r="Z42" s="91"/>
      <c r="AA42" s="79" t="s">
        <v>39</v>
      </c>
      <c r="AB42" s="92" t="n">
        <f aca="false">SUM(AB35:AB41)</f>
        <v>0</v>
      </c>
      <c r="AC42" s="59"/>
    </row>
    <row r="43" s="59" customFormat="true" ht="16.5" hidden="false" customHeight="true" outlineLevel="0" collapsed="false">
      <c r="B43" s="81" t="s">
        <v>128</v>
      </c>
      <c r="M43" s="69"/>
      <c r="N43" s="69"/>
      <c r="O43" s="69"/>
      <c r="P43" s="69"/>
      <c r="Q43" s="69"/>
    </row>
    <row r="44" s="59" customFormat="true" ht="16.5" hidden="false" customHeight="true" outlineLevel="0" collapsed="false">
      <c r="B44" s="81"/>
      <c r="M44" s="69"/>
      <c r="N44" s="69"/>
      <c r="O44" s="69"/>
      <c r="P44" s="69"/>
      <c r="Q44" s="69"/>
    </row>
    <row r="45" s="59" customFormat="true" ht="16.5" hidden="false" customHeight="true" outlineLevel="0" collapsed="false">
      <c r="B45" s="66" t="s">
        <v>129</v>
      </c>
      <c r="M45" s="69"/>
      <c r="N45" s="69"/>
      <c r="O45" s="69"/>
      <c r="P45" s="69"/>
      <c r="Q45" s="69"/>
    </row>
    <row r="46" s="59" customFormat="true" ht="12.75" hidden="false" customHeight="true" outlineLevel="0" collapsed="false">
      <c r="M46" s="69"/>
      <c r="N46" s="69"/>
      <c r="O46" s="69"/>
      <c r="P46" s="69"/>
      <c r="Q46" s="69"/>
    </row>
    <row r="47" s="59" customFormat="true" ht="14.25" hidden="false" customHeight="true" outlineLevel="0" collapsed="false">
      <c r="B47" s="63" t="s">
        <v>74</v>
      </c>
      <c r="H47" s="63" t="s">
        <v>75</v>
      </c>
      <c r="M47" s="69"/>
      <c r="N47" s="63" t="s">
        <v>76</v>
      </c>
      <c r="T47" s="63" t="s">
        <v>77</v>
      </c>
      <c r="X47" s="64"/>
      <c r="Y47" s="63" t="s">
        <v>78</v>
      </c>
    </row>
    <row r="48" s="59" customFormat="true" ht="9" hidden="false" customHeight="true" outlineLevel="0" collapsed="false">
      <c r="B48" s="63"/>
      <c r="M48" s="69"/>
      <c r="N48" s="63"/>
      <c r="T48" s="63"/>
      <c r="X48" s="64"/>
      <c r="Y48" s="63"/>
    </row>
    <row r="49" customFormat="false" ht="16.5" hidden="false" customHeight="true" outlineLevel="0" collapsed="false">
      <c r="B49" s="67" t="s">
        <v>130</v>
      </c>
      <c r="C49" s="67"/>
      <c r="D49" s="67"/>
      <c r="E49" s="67"/>
      <c r="F49" s="59"/>
      <c r="G49" s="59"/>
      <c r="H49" s="67" t="s">
        <v>79</v>
      </c>
      <c r="I49" s="67"/>
      <c r="J49" s="67"/>
      <c r="K49" s="67"/>
      <c r="L49" s="68"/>
      <c r="M49" s="69"/>
      <c r="N49" s="67" t="s">
        <v>130</v>
      </c>
      <c r="O49" s="67"/>
      <c r="P49" s="67"/>
      <c r="Q49" s="67"/>
      <c r="R49" s="59"/>
      <c r="S49" s="59"/>
      <c r="T49" s="67" t="s">
        <v>130</v>
      </c>
      <c r="U49" s="67"/>
      <c r="V49" s="67"/>
      <c r="W49" s="67"/>
      <c r="X49" s="64"/>
      <c r="Y49" s="67" t="s">
        <v>130</v>
      </c>
      <c r="Z49" s="67"/>
      <c r="AA49" s="67"/>
      <c r="AB49" s="67"/>
      <c r="AC49" s="59"/>
    </row>
    <row r="50" customFormat="false" ht="34.5" hidden="false" customHeight="true" outlineLevel="0" collapsed="false">
      <c r="B50" s="70" t="s">
        <v>80</v>
      </c>
      <c r="C50" s="70" t="s">
        <v>131</v>
      </c>
      <c r="D50" s="70" t="s">
        <v>82</v>
      </c>
      <c r="E50" s="70" t="s">
        <v>83</v>
      </c>
      <c r="F50" s="71"/>
      <c r="G50" s="71"/>
      <c r="H50" s="70" t="s">
        <v>80</v>
      </c>
      <c r="I50" s="70" t="s">
        <v>84</v>
      </c>
      <c r="J50" s="70" t="s">
        <v>82</v>
      </c>
      <c r="K50" s="70" t="s">
        <v>85</v>
      </c>
      <c r="L50" s="69"/>
      <c r="M50" s="69"/>
      <c r="N50" s="70" t="s">
        <v>80</v>
      </c>
      <c r="O50" s="70" t="s">
        <v>86</v>
      </c>
      <c r="P50" s="70" t="s">
        <v>82</v>
      </c>
      <c r="Q50" s="70" t="s">
        <v>88</v>
      </c>
      <c r="R50" s="71"/>
      <c r="S50" s="71"/>
      <c r="T50" s="70" t="s">
        <v>80</v>
      </c>
      <c r="U50" s="70" t="s">
        <v>86</v>
      </c>
      <c r="V50" s="70" t="s">
        <v>82</v>
      </c>
      <c r="W50" s="70" t="s">
        <v>89</v>
      </c>
      <c r="X50" s="71"/>
      <c r="Y50" s="70" t="s">
        <v>80</v>
      </c>
      <c r="Z50" s="70" t="s">
        <v>90</v>
      </c>
      <c r="AA50" s="70" t="s">
        <v>82</v>
      </c>
      <c r="AB50" s="70" t="s">
        <v>91</v>
      </c>
      <c r="AC50" s="59"/>
    </row>
    <row r="51" customFormat="false" ht="16.5" hidden="false" customHeight="true" outlineLevel="0" collapsed="false">
      <c r="B51" s="72" t="s">
        <v>92</v>
      </c>
      <c r="C51" s="73"/>
      <c r="D51" s="72"/>
      <c r="E51" s="74"/>
      <c r="F51" s="69"/>
      <c r="G51" s="69"/>
      <c r="H51" s="72" t="s">
        <v>92</v>
      </c>
      <c r="I51" s="73"/>
      <c r="J51" s="72"/>
      <c r="K51" s="74"/>
      <c r="L51" s="69"/>
      <c r="M51" s="69"/>
      <c r="N51" s="72" t="s">
        <v>92</v>
      </c>
      <c r="O51" s="73"/>
      <c r="P51" s="73"/>
      <c r="Q51" s="73"/>
      <c r="R51" s="69"/>
      <c r="S51" s="69"/>
      <c r="T51" s="72" t="s">
        <v>92</v>
      </c>
      <c r="U51" s="73"/>
      <c r="V51" s="73"/>
      <c r="W51" s="73"/>
      <c r="X51" s="69"/>
      <c r="Y51" s="72" t="s">
        <v>92</v>
      </c>
      <c r="Z51" s="72"/>
      <c r="AA51" s="72"/>
      <c r="AB51" s="72"/>
      <c r="AC51" s="59"/>
    </row>
    <row r="52" customFormat="false" ht="16.5" hidden="false" customHeight="true" outlineLevel="0" collapsed="false">
      <c r="B52" s="72"/>
      <c r="C52" s="73"/>
      <c r="D52" s="72"/>
      <c r="E52" s="74"/>
      <c r="F52" s="69"/>
      <c r="G52" s="69"/>
      <c r="H52" s="72"/>
      <c r="I52" s="73"/>
      <c r="J52" s="72"/>
      <c r="K52" s="74"/>
      <c r="L52" s="69"/>
      <c r="M52" s="69"/>
      <c r="N52" s="72"/>
      <c r="O52" s="73"/>
      <c r="P52" s="73"/>
      <c r="Q52" s="73"/>
      <c r="R52" s="69"/>
      <c r="S52" s="69"/>
      <c r="T52" s="72"/>
      <c r="U52" s="73"/>
      <c r="V52" s="73"/>
      <c r="W52" s="73"/>
      <c r="X52" s="69"/>
      <c r="Y52" s="72"/>
      <c r="Z52" s="72"/>
      <c r="AA52" s="72"/>
      <c r="AB52" s="72"/>
      <c r="AC52" s="59"/>
    </row>
    <row r="53" customFormat="false" ht="16.5" hidden="false" customHeight="true" outlineLevel="0" collapsed="false">
      <c r="B53" s="72"/>
      <c r="C53" s="73"/>
      <c r="D53" s="72"/>
      <c r="E53" s="74"/>
      <c r="F53" s="69"/>
      <c r="G53" s="69"/>
      <c r="H53" s="72"/>
      <c r="I53" s="73"/>
      <c r="J53" s="72"/>
      <c r="K53" s="74"/>
      <c r="L53" s="69"/>
      <c r="M53" s="69"/>
      <c r="N53" s="72"/>
      <c r="O53" s="73" t="n">
        <v>42</v>
      </c>
      <c r="P53" s="73" t="n">
        <v>27.98</v>
      </c>
      <c r="Q53" s="73" t="n">
        <f aca="false">O53*P53</f>
        <v>1175.16</v>
      </c>
      <c r="R53" s="69"/>
      <c r="S53" s="69"/>
      <c r="T53" s="72"/>
      <c r="U53" s="73" t="n">
        <v>70</v>
      </c>
      <c r="V53" s="73" t="n">
        <v>25.7643</v>
      </c>
      <c r="W53" s="73" t="n">
        <f aca="false">U53*V53</f>
        <v>1803.501</v>
      </c>
      <c r="X53" s="69"/>
      <c r="Y53" s="72"/>
      <c r="Z53" s="72" t="n">
        <v>24.67</v>
      </c>
      <c r="AA53" s="72" t="n">
        <v>27.98</v>
      </c>
      <c r="AB53" s="72" t="n">
        <f aca="false">Z53*AA53</f>
        <v>690.2666</v>
      </c>
      <c r="AC53" s="59"/>
    </row>
    <row r="54" customFormat="false" ht="16.5" hidden="false" customHeight="true" outlineLevel="0" collapsed="false">
      <c r="B54" s="72" t="s">
        <v>93</v>
      </c>
      <c r="C54" s="73"/>
      <c r="D54" s="72"/>
      <c r="E54" s="74"/>
      <c r="F54" s="59"/>
      <c r="G54" s="59"/>
      <c r="H54" s="72" t="s">
        <v>93</v>
      </c>
      <c r="I54" s="73" t="n">
        <v>33</v>
      </c>
      <c r="J54" s="72" t="n">
        <v>90</v>
      </c>
      <c r="K54" s="74" t="n">
        <f aca="false">I54*J54</f>
        <v>2970</v>
      </c>
      <c r="L54" s="69"/>
      <c r="M54" s="69"/>
      <c r="N54" s="72" t="s">
        <v>93</v>
      </c>
      <c r="O54" s="73" t="n">
        <v>60</v>
      </c>
      <c r="P54" s="73" t="n">
        <v>27.98</v>
      </c>
      <c r="Q54" s="73" t="n">
        <f aca="false">O54*P54</f>
        <v>1678.8</v>
      </c>
      <c r="R54" s="59"/>
      <c r="S54" s="59"/>
      <c r="T54" s="72" t="s">
        <v>93</v>
      </c>
      <c r="U54" s="73" t="n">
        <v>130</v>
      </c>
      <c r="V54" s="73" t="n">
        <v>16.0492</v>
      </c>
      <c r="W54" s="73" t="n">
        <f aca="false">U54*V54</f>
        <v>2086.396</v>
      </c>
      <c r="X54" s="75"/>
      <c r="Y54" s="72" t="s">
        <v>93</v>
      </c>
      <c r="Z54" s="74" t="n">
        <v>107.78</v>
      </c>
      <c r="AA54" s="74" t="n">
        <v>27.98</v>
      </c>
      <c r="AB54" s="74" t="n">
        <f aca="false">Z54*AA54</f>
        <v>3015.6844</v>
      </c>
      <c r="AC54" s="59"/>
    </row>
    <row r="55" customFormat="false" ht="16.5" hidden="false" customHeight="true" outlineLevel="0" collapsed="false">
      <c r="B55" s="72" t="s">
        <v>94</v>
      </c>
      <c r="C55" s="73"/>
      <c r="D55" s="72"/>
      <c r="E55" s="74"/>
      <c r="F55" s="59"/>
      <c r="G55" s="59"/>
      <c r="H55" s="72" t="s">
        <v>94</v>
      </c>
      <c r="I55" s="73" t="n">
        <v>8</v>
      </c>
      <c r="J55" s="72" t="n">
        <v>90</v>
      </c>
      <c r="K55" s="74" t="n">
        <f aca="false">I55*J55</f>
        <v>720</v>
      </c>
      <c r="L55" s="69"/>
      <c r="M55" s="69"/>
      <c r="N55" s="72" t="s">
        <v>94</v>
      </c>
      <c r="O55" s="73" t="n">
        <v>90</v>
      </c>
      <c r="P55" s="73" t="n">
        <v>27.98</v>
      </c>
      <c r="Q55" s="73" t="n">
        <f aca="false">O55*P55</f>
        <v>2518.2</v>
      </c>
      <c r="R55" s="59"/>
      <c r="S55" s="59"/>
      <c r="T55" s="72" t="s">
        <v>94</v>
      </c>
      <c r="U55" s="73" t="n">
        <v>230</v>
      </c>
      <c r="V55" s="73" t="n">
        <v>22.5852</v>
      </c>
      <c r="W55" s="73" t="n">
        <f aca="false">U55*V55</f>
        <v>5194.596</v>
      </c>
      <c r="X55" s="75"/>
      <c r="Y55" s="72" t="s">
        <v>94</v>
      </c>
      <c r="Z55" s="74" t="n">
        <v>73.78</v>
      </c>
      <c r="AA55" s="74" t="n">
        <v>27.98</v>
      </c>
      <c r="AB55" s="74" t="n">
        <f aca="false">Z55*AA55</f>
        <v>2064.3644</v>
      </c>
      <c r="AC55" s="59"/>
    </row>
    <row r="56" customFormat="false" ht="16.5" hidden="false" customHeight="true" outlineLevel="0" collapsed="false">
      <c r="B56" s="72" t="s">
        <v>95</v>
      </c>
      <c r="C56" s="73"/>
      <c r="D56" s="76"/>
      <c r="E56" s="77"/>
      <c r="F56" s="78"/>
      <c r="G56" s="78"/>
      <c r="H56" s="72" t="s">
        <v>95</v>
      </c>
      <c r="I56" s="73"/>
      <c r="J56" s="76"/>
      <c r="K56" s="77"/>
      <c r="L56" s="69"/>
      <c r="M56" s="69"/>
      <c r="N56" s="72" t="s">
        <v>95</v>
      </c>
      <c r="O56" s="73" t="n">
        <v>20</v>
      </c>
      <c r="P56" s="73" t="n">
        <v>27.98</v>
      </c>
      <c r="Q56" s="73" t="n">
        <f aca="false">O56*P56</f>
        <v>559.6</v>
      </c>
      <c r="R56" s="78"/>
      <c r="S56" s="78"/>
      <c r="T56" s="72" t="s">
        <v>95</v>
      </c>
      <c r="U56" s="73" t="n">
        <v>70</v>
      </c>
      <c r="V56" s="73" t="n">
        <v>19.1171</v>
      </c>
      <c r="W56" s="73" t="n">
        <f aca="false">U56*V56</f>
        <v>1338.197</v>
      </c>
      <c r="X56" s="75"/>
      <c r="Y56" s="72" t="s">
        <v>95</v>
      </c>
      <c r="Z56" s="74" t="n">
        <v>39.77</v>
      </c>
      <c r="AA56" s="74" t="n">
        <v>27.98</v>
      </c>
      <c r="AB56" s="74" t="n">
        <f aca="false">Z56*AA56</f>
        <v>1112.7646</v>
      </c>
      <c r="AC56" s="59"/>
    </row>
    <row r="57" customFormat="false" ht="16.5" hidden="false" customHeight="true" outlineLevel="0" collapsed="false">
      <c r="B57" s="72" t="s">
        <v>96</v>
      </c>
      <c r="C57" s="73"/>
      <c r="D57" s="76"/>
      <c r="E57" s="77"/>
      <c r="F57" s="78"/>
      <c r="G57" s="78"/>
      <c r="H57" s="72" t="s">
        <v>96</v>
      </c>
      <c r="I57" s="73"/>
      <c r="J57" s="76"/>
      <c r="K57" s="77"/>
      <c r="L57" s="69"/>
      <c r="M57" s="69"/>
      <c r="N57" s="72" t="s">
        <v>96</v>
      </c>
      <c r="O57" s="73" t="n">
        <v>10</v>
      </c>
      <c r="P57" s="73" t="n">
        <v>27.98</v>
      </c>
      <c r="Q57" s="73" t="n">
        <f aca="false">O57*P57</f>
        <v>279.8</v>
      </c>
      <c r="R57" s="78"/>
      <c r="S57" s="78"/>
      <c r="T57" s="72" t="s">
        <v>96</v>
      </c>
      <c r="U57" s="73" t="n">
        <v>15</v>
      </c>
      <c r="V57" s="73" t="n">
        <v>22.81</v>
      </c>
      <c r="W57" s="73" t="n">
        <f aca="false">U57*V57</f>
        <v>342.15</v>
      </c>
      <c r="X57" s="75"/>
      <c r="Y57" s="72" t="s">
        <v>96</v>
      </c>
      <c r="Z57" s="74" t="n">
        <v>4</v>
      </c>
      <c r="AA57" s="74" t="n">
        <v>27.98</v>
      </c>
      <c r="AB57" s="74" t="n">
        <f aca="false">Z57*AA57</f>
        <v>111.92</v>
      </c>
      <c r="AC57" s="59"/>
    </row>
    <row r="58" customFormat="false" ht="16.5" hidden="false" customHeight="true" outlineLevel="0" collapsed="false">
      <c r="B58" s="72" t="s">
        <v>97</v>
      </c>
      <c r="C58" s="73"/>
      <c r="D58" s="72"/>
      <c r="E58" s="77"/>
      <c r="F58" s="78"/>
      <c r="G58" s="78"/>
      <c r="H58" s="72" t="s">
        <v>97</v>
      </c>
      <c r="I58" s="73"/>
      <c r="J58" s="72"/>
      <c r="K58" s="77"/>
      <c r="L58" s="69"/>
      <c r="M58" s="69"/>
      <c r="N58" s="72" t="s">
        <v>97</v>
      </c>
      <c r="O58" s="73"/>
      <c r="P58" s="73"/>
      <c r="Q58" s="73"/>
      <c r="R58" s="78"/>
      <c r="S58" s="78"/>
      <c r="T58" s="72" t="s">
        <v>97</v>
      </c>
      <c r="U58" s="73"/>
      <c r="V58" s="73"/>
      <c r="W58" s="73"/>
      <c r="X58" s="75"/>
      <c r="Y58" s="72" t="s">
        <v>97</v>
      </c>
      <c r="Z58" s="74"/>
      <c r="AA58" s="74"/>
      <c r="AB58" s="74"/>
      <c r="AC58" s="59"/>
    </row>
    <row r="59" customFormat="false" ht="16.5" hidden="false" customHeight="true" outlineLevel="0" collapsed="false">
      <c r="B59" s="72" t="s">
        <v>98</v>
      </c>
      <c r="C59" s="73"/>
      <c r="D59" s="72"/>
      <c r="E59" s="77"/>
      <c r="F59" s="78"/>
      <c r="G59" s="78"/>
      <c r="H59" s="72" t="s">
        <v>98</v>
      </c>
      <c r="I59" s="73"/>
      <c r="J59" s="72"/>
      <c r="K59" s="77"/>
      <c r="L59" s="69"/>
      <c r="M59" s="69"/>
      <c r="N59" s="72" t="s">
        <v>98</v>
      </c>
      <c r="O59" s="73"/>
      <c r="P59" s="73"/>
      <c r="Q59" s="73"/>
      <c r="R59" s="78"/>
      <c r="S59" s="78"/>
      <c r="T59" s="72" t="s">
        <v>98</v>
      </c>
      <c r="U59" s="73"/>
      <c r="V59" s="73"/>
      <c r="W59" s="73"/>
      <c r="X59" s="75"/>
      <c r="Y59" s="72" t="s">
        <v>98</v>
      </c>
      <c r="Z59" s="74"/>
      <c r="AA59" s="74"/>
      <c r="AB59" s="74"/>
      <c r="AC59" s="59"/>
    </row>
    <row r="60" customFormat="false" ht="16.5" hidden="false" customHeight="true" outlineLevel="0" collapsed="false">
      <c r="B60" s="72" t="s">
        <v>99</v>
      </c>
      <c r="C60" s="73"/>
      <c r="D60" s="72"/>
      <c r="E60" s="77"/>
      <c r="F60" s="78"/>
      <c r="G60" s="78"/>
      <c r="H60" s="72" t="s">
        <v>99</v>
      </c>
      <c r="I60" s="73"/>
      <c r="J60" s="72"/>
      <c r="K60" s="77"/>
      <c r="L60" s="69"/>
      <c r="M60" s="69"/>
      <c r="N60" s="72" t="s">
        <v>99</v>
      </c>
      <c r="O60" s="73"/>
      <c r="P60" s="73"/>
      <c r="Q60" s="73"/>
      <c r="R60" s="78"/>
      <c r="S60" s="78"/>
      <c r="T60" s="72" t="s">
        <v>99</v>
      </c>
      <c r="U60" s="73"/>
      <c r="V60" s="73"/>
      <c r="W60" s="73"/>
      <c r="X60" s="75"/>
      <c r="Y60" s="72" t="s">
        <v>99</v>
      </c>
      <c r="Z60" s="74"/>
      <c r="AA60" s="74"/>
      <c r="AB60" s="74"/>
      <c r="AC60" s="59"/>
    </row>
    <row r="61" customFormat="false" ht="16.5" hidden="false" customHeight="true" outlineLevel="0" collapsed="false">
      <c r="B61" s="72" t="s">
        <v>100</v>
      </c>
      <c r="C61" s="73"/>
      <c r="D61" s="72"/>
      <c r="E61" s="77"/>
      <c r="F61" s="78"/>
      <c r="G61" s="78"/>
      <c r="H61" s="72" t="s">
        <v>100</v>
      </c>
      <c r="I61" s="73"/>
      <c r="J61" s="72"/>
      <c r="K61" s="77"/>
      <c r="L61" s="69"/>
      <c r="M61" s="69"/>
      <c r="N61" s="72" t="s">
        <v>100</v>
      </c>
      <c r="O61" s="73"/>
      <c r="P61" s="73"/>
      <c r="Q61" s="73"/>
      <c r="R61" s="78"/>
      <c r="S61" s="78"/>
      <c r="T61" s="72" t="s">
        <v>100</v>
      </c>
      <c r="U61" s="73"/>
      <c r="V61" s="73"/>
      <c r="W61" s="73"/>
      <c r="X61" s="78"/>
      <c r="Y61" s="72" t="s">
        <v>100</v>
      </c>
      <c r="Z61" s="74"/>
      <c r="AA61" s="74"/>
      <c r="AB61" s="74"/>
      <c r="AC61" s="59"/>
    </row>
    <row r="62" customFormat="false" ht="16.5" hidden="false" customHeight="true" outlineLevel="0" collapsed="false">
      <c r="B62" s="72" t="s">
        <v>101</v>
      </c>
      <c r="C62" s="73"/>
      <c r="D62" s="72"/>
      <c r="E62" s="77"/>
      <c r="F62" s="78"/>
      <c r="G62" s="78"/>
      <c r="H62" s="72" t="s">
        <v>101</v>
      </c>
      <c r="I62" s="73"/>
      <c r="J62" s="72"/>
      <c r="K62" s="77"/>
      <c r="L62" s="69"/>
      <c r="M62" s="69"/>
      <c r="N62" s="72" t="s">
        <v>101</v>
      </c>
      <c r="O62" s="73"/>
      <c r="P62" s="73"/>
      <c r="Q62" s="73"/>
      <c r="R62" s="78"/>
      <c r="S62" s="78"/>
      <c r="T62" s="72" t="s">
        <v>101</v>
      </c>
      <c r="U62" s="73"/>
      <c r="V62" s="73"/>
      <c r="W62" s="73"/>
      <c r="X62" s="78"/>
      <c r="Y62" s="72" t="s">
        <v>101</v>
      </c>
      <c r="Z62" s="74"/>
      <c r="AA62" s="74"/>
      <c r="AB62" s="74"/>
      <c r="AC62" s="59"/>
    </row>
    <row r="63" customFormat="false" ht="16.5" hidden="false" customHeight="true" outlineLevel="0" collapsed="false">
      <c r="B63" s="72" t="s">
        <v>102</v>
      </c>
      <c r="C63" s="73"/>
      <c r="D63" s="72"/>
      <c r="E63" s="77"/>
      <c r="F63" s="78"/>
      <c r="G63" s="78"/>
      <c r="H63" s="72" t="s">
        <v>102</v>
      </c>
      <c r="I63" s="73"/>
      <c r="J63" s="72"/>
      <c r="K63" s="77"/>
      <c r="L63" s="69"/>
      <c r="M63" s="69"/>
      <c r="N63" s="72" t="s">
        <v>102</v>
      </c>
      <c r="O63" s="73"/>
      <c r="P63" s="73"/>
      <c r="Q63" s="73"/>
      <c r="R63" s="78"/>
      <c r="S63" s="78"/>
      <c r="T63" s="72" t="s">
        <v>102</v>
      </c>
      <c r="U63" s="73"/>
      <c r="V63" s="73"/>
      <c r="W63" s="73"/>
      <c r="X63" s="78"/>
      <c r="Y63" s="72" t="s">
        <v>102</v>
      </c>
      <c r="Z63" s="74"/>
      <c r="AA63" s="74"/>
      <c r="AB63" s="74"/>
      <c r="AC63" s="59"/>
    </row>
    <row r="64" customFormat="false" ht="16.5" hidden="false" customHeight="true" outlineLevel="0" collapsed="false">
      <c r="B64" s="79" t="s">
        <v>21</v>
      </c>
      <c r="C64" s="92" t="n">
        <f aca="false">SUM(C51:C60)</f>
        <v>0</v>
      </c>
      <c r="D64" s="79" t="s">
        <v>21</v>
      </c>
      <c r="E64" s="92" t="n">
        <f aca="false">SUM(E51:E60)</f>
        <v>0</v>
      </c>
      <c r="F64" s="59"/>
      <c r="G64" s="59"/>
      <c r="H64" s="79" t="s">
        <v>21</v>
      </c>
      <c r="I64" s="92" t="n">
        <f aca="false">SUM(I51:I60)</f>
        <v>41</v>
      </c>
      <c r="J64" s="79" t="s">
        <v>21</v>
      </c>
      <c r="K64" s="92" t="n">
        <f aca="false">SUM(K51:K60)</f>
        <v>3690</v>
      </c>
      <c r="L64" s="69"/>
      <c r="M64" s="69"/>
      <c r="N64" s="79" t="s">
        <v>21</v>
      </c>
      <c r="O64" s="73" t="n">
        <f aca="false">SUM(O51:O60)</f>
        <v>222</v>
      </c>
      <c r="P64" s="79" t="s">
        <v>21</v>
      </c>
      <c r="Q64" s="73" t="n">
        <f aca="false">SUM(Q51:Q60)</f>
        <v>6211.56</v>
      </c>
      <c r="R64" s="59"/>
      <c r="S64" s="59"/>
      <c r="T64" s="79" t="s">
        <v>21</v>
      </c>
      <c r="U64" s="73" t="n">
        <f aca="false">SUM(U51:U60)</f>
        <v>515</v>
      </c>
      <c r="V64" s="79" t="s">
        <v>21</v>
      </c>
      <c r="W64" s="73" t="n">
        <f aca="false">SUM(W51:W60)</f>
        <v>10764.84</v>
      </c>
      <c r="X64" s="78"/>
      <c r="Y64" s="79" t="s">
        <v>21</v>
      </c>
      <c r="Z64" s="73" t="n">
        <f aca="false">SUM(Z51:Z60)</f>
        <v>250</v>
      </c>
      <c r="AA64" s="79" t="s">
        <v>21</v>
      </c>
      <c r="AB64" s="73" t="n">
        <f aca="false">SUM(AB51:AB60)</f>
        <v>6995</v>
      </c>
      <c r="AC64" s="59"/>
    </row>
    <row r="65" s="59" customFormat="true" ht="16.5" hidden="false" customHeight="true" outlineLevel="0" collapsed="false"/>
    <row r="66" customFormat="false" ht="36" hidden="false" customHeight="true" outlineLevel="0" collapsed="false">
      <c r="B66" s="70" t="s">
        <v>104</v>
      </c>
      <c r="C66" s="70" t="s">
        <v>105</v>
      </c>
      <c r="D66" s="70" t="s">
        <v>106</v>
      </c>
      <c r="E66" s="70" t="s">
        <v>107</v>
      </c>
      <c r="F66" s="70" t="s">
        <v>108</v>
      </c>
      <c r="G66" s="78"/>
      <c r="H66" s="70" t="s">
        <v>104</v>
      </c>
      <c r="I66" s="70" t="s">
        <v>105</v>
      </c>
      <c r="J66" s="70" t="s">
        <v>106</v>
      </c>
      <c r="K66" s="70" t="s">
        <v>107</v>
      </c>
      <c r="L66" s="70" t="s">
        <v>109</v>
      </c>
      <c r="M66" s="95"/>
      <c r="N66" s="70" t="s">
        <v>104</v>
      </c>
      <c r="O66" s="70" t="s">
        <v>110</v>
      </c>
      <c r="P66" s="70" t="s">
        <v>107</v>
      </c>
      <c r="Q66" s="70" t="s">
        <v>111</v>
      </c>
      <c r="R66" s="78"/>
      <c r="S66" s="59"/>
      <c r="T66" s="70" t="s">
        <v>104</v>
      </c>
      <c r="U66" s="70" t="s">
        <v>110</v>
      </c>
      <c r="V66" s="70" t="s">
        <v>107</v>
      </c>
      <c r="W66" s="70" t="s">
        <v>112</v>
      </c>
      <c r="X66" s="59"/>
      <c r="Y66" s="70" t="s">
        <v>104</v>
      </c>
      <c r="Z66" s="70" t="s">
        <v>110</v>
      </c>
      <c r="AA66" s="70" t="s">
        <v>107</v>
      </c>
      <c r="AB66" s="70" t="s">
        <v>113</v>
      </c>
      <c r="AC66" s="59"/>
    </row>
    <row r="67" customFormat="false" ht="19.5" hidden="false" customHeight="true" outlineLevel="0" collapsed="false">
      <c r="B67" s="82" t="s">
        <v>114</v>
      </c>
      <c r="C67" s="83"/>
      <c r="D67" s="82" t="s">
        <v>92</v>
      </c>
      <c r="E67" s="82"/>
      <c r="F67" s="84"/>
      <c r="G67" s="78"/>
      <c r="H67" s="82" t="s">
        <v>115</v>
      </c>
      <c r="I67" s="83"/>
      <c r="J67" s="82" t="s">
        <v>92</v>
      </c>
      <c r="K67" s="82"/>
      <c r="L67" s="84"/>
      <c r="M67" s="95"/>
      <c r="N67" s="82" t="s">
        <v>114</v>
      </c>
      <c r="O67" s="82" t="s">
        <v>92</v>
      </c>
      <c r="P67" s="85"/>
      <c r="Q67" s="84"/>
      <c r="R67" s="78"/>
      <c r="S67" s="59"/>
      <c r="T67" s="82" t="s">
        <v>115</v>
      </c>
      <c r="U67" s="82" t="s">
        <v>92</v>
      </c>
      <c r="V67" s="85"/>
      <c r="W67" s="84"/>
      <c r="X67" s="59"/>
      <c r="Y67" s="82" t="s">
        <v>116</v>
      </c>
      <c r="Z67" s="82" t="s">
        <v>92</v>
      </c>
      <c r="AA67" s="74"/>
      <c r="AB67" s="84"/>
      <c r="AC67" s="59"/>
    </row>
    <row r="68" customFormat="false" ht="19.5" hidden="false" customHeight="true" outlineLevel="0" collapsed="false">
      <c r="B68" s="82"/>
      <c r="C68" s="83"/>
      <c r="D68" s="82" t="s">
        <v>93</v>
      </c>
      <c r="E68" s="82"/>
      <c r="F68" s="84"/>
      <c r="G68" s="78"/>
      <c r="H68" s="82"/>
      <c r="I68" s="83"/>
      <c r="J68" s="82" t="s">
        <v>93</v>
      </c>
      <c r="K68" s="82"/>
      <c r="L68" s="84"/>
      <c r="M68" s="95"/>
      <c r="N68" s="82"/>
      <c r="O68" s="82" t="s">
        <v>93</v>
      </c>
      <c r="P68" s="85"/>
      <c r="Q68" s="84"/>
      <c r="R68" s="78"/>
      <c r="S68" s="59"/>
      <c r="T68" s="82"/>
      <c r="U68" s="82" t="s">
        <v>93</v>
      </c>
      <c r="V68" s="85"/>
      <c r="W68" s="84"/>
      <c r="X68" s="59"/>
      <c r="Y68" s="82"/>
      <c r="Z68" s="82" t="s">
        <v>93</v>
      </c>
      <c r="AA68" s="74"/>
      <c r="AB68" s="84"/>
      <c r="AC68" s="59"/>
    </row>
    <row r="69" customFormat="false" ht="19.5" hidden="false" customHeight="true" outlineLevel="0" collapsed="false">
      <c r="B69" s="82"/>
      <c r="C69" s="83"/>
      <c r="D69" s="82" t="s">
        <v>117</v>
      </c>
      <c r="E69" s="82"/>
      <c r="F69" s="84"/>
      <c r="G69" s="78"/>
      <c r="H69" s="82"/>
      <c r="I69" s="83"/>
      <c r="J69" s="82" t="s">
        <v>117</v>
      </c>
      <c r="K69" s="82"/>
      <c r="L69" s="84"/>
      <c r="M69" s="95"/>
      <c r="N69" s="82"/>
      <c r="O69" s="82" t="s">
        <v>117</v>
      </c>
      <c r="P69" s="85"/>
      <c r="Q69" s="84"/>
      <c r="R69" s="78"/>
      <c r="S69" s="59"/>
      <c r="T69" s="82"/>
      <c r="U69" s="82" t="s">
        <v>117</v>
      </c>
      <c r="V69" s="85"/>
      <c r="W69" s="84"/>
      <c r="X69" s="59"/>
      <c r="Y69" s="82"/>
      <c r="Z69" s="82" t="s">
        <v>117</v>
      </c>
      <c r="AA69" s="74"/>
      <c r="AB69" s="84"/>
      <c r="AC69" s="59"/>
    </row>
    <row r="70" customFormat="false" ht="19.5" hidden="false" customHeight="true" outlineLevel="0" collapsed="false">
      <c r="B70" s="82" t="s">
        <v>118</v>
      </c>
      <c r="C70" s="83"/>
      <c r="D70" s="82" t="s">
        <v>117</v>
      </c>
      <c r="E70" s="82"/>
      <c r="F70" s="84"/>
      <c r="G70" s="78"/>
      <c r="H70" s="82" t="s">
        <v>119</v>
      </c>
      <c r="I70" s="83"/>
      <c r="J70" s="82" t="s">
        <v>117</v>
      </c>
      <c r="K70" s="82"/>
      <c r="L70" s="84"/>
      <c r="M70" s="95"/>
      <c r="N70" s="82" t="s">
        <v>118</v>
      </c>
      <c r="O70" s="82" t="s">
        <v>117</v>
      </c>
      <c r="P70" s="85"/>
      <c r="Q70" s="84"/>
      <c r="R70" s="78"/>
      <c r="S70" s="59"/>
      <c r="T70" s="82" t="s">
        <v>119</v>
      </c>
      <c r="U70" s="82" t="s">
        <v>117</v>
      </c>
      <c r="V70" s="85"/>
      <c r="W70" s="84"/>
      <c r="X70" s="59"/>
      <c r="Y70" s="82" t="s">
        <v>120</v>
      </c>
      <c r="Z70" s="82" t="s">
        <v>117</v>
      </c>
      <c r="AA70" s="74"/>
      <c r="AB70" s="84"/>
      <c r="AC70" s="59"/>
    </row>
    <row r="71" customFormat="false" ht="19.5" hidden="false" customHeight="true" outlineLevel="0" collapsed="false">
      <c r="B71" s="82" t="s">
        <v>121</v>
      </c>
      <c r="C71" s="83"/>
      <c r="D71" s="82" t="s">
        <v>117</v>
      </c>
      <c r="E71" s="82"/>
      <c r="F71" s="84"/>
      <c r="G71" s="78"/>
      <c r="H71" s="82" t="s">
        <v>122</v>
      </c>
      <c r="I71" s="83"/>
      <c r="J71" s="82" t="s">
        <v>117</v>
      </c>
      <c r="K71" s="82"/>
      <c r="L71" s="84"/>
      <c r="M71" s="95"/>
      <c r="N71" s="82" t="s">
        <v>121</v>
      </c>
      <c r="O71" s="82" t="s">
        <v>117</v>
      </c>
      <c r="P71" s="85"/>
      <c r="Q71" s="84"/>
      <c r="R71" s="78"/>
      <c r="S71" s="59"/>
      <c r="T71" s="82" t="s">
        <v>122</v>
      </c>
      <c r="U71" s="82" t="s">
        <v>117</v>
      </c>
      <c r="V71" s="85"/>
      <c r="W71" s="84"/>
      <c r="X71" s="87"/>
      <c r="Y71" s="82" t="s">
        <v>123</v>
      </c>
      <c r="Z71" s="82" t="s">
        <v>117</v>
      </c>
      <c r="AA71" s="74"/>
      <c r="AB71" s="84"/>
      <c r="AC71" s="59"/>
    </row>
    <row r="72" customFormat="false" ht="19.5" hidden="false" customHeight="true" outlineLevel="0" collapsed="false">
      <c r="B72" s="82" t="s">
        <v>124</v>
      </c>
      <c r="C72" s="83"/>
      <c r="D72" s="82" t="s">
        <v>117</v>
      </c>
      <c r="E72" s="82"/>
      <c r="F72" s="84"/>
      <c r="G72" s="78"/>
      <c r="H72" s="82" t="s">
        <v>125</v>
      </c>
      <c r="I72" s="83"/>
      <c r="J72" s="82" t="s">
        <v>117</v>
      </c>
      <c r="K72" s="82"/>
      <c r="L72" s="84"/>
      <c r="M72" s="95"/>
      <c r="N72" s="82" t="s">
        <v>124</v>
      </c>
      <c r="O72" s="82" t="s">
        <v>117</v>
      </c>
      <c r="P72" s="85"/>
      <c r="Q72" s="88"/>
      <c r="R72" s="78"/>
      <c r="S72" s="59"/>
      <c r="T72" s="82" t="s">
        <v>125</v>
      </c>
      <c r="U72" s="82" t="s">
        <v>117</v>
      </c>
      <c r="V72" s="85"/>
      <c r="W72" s="88"/>
      <c r="X72" s="87"/>
      <c r="Y72" s="82" t="s">
        <v>126</v>
      </c>
      <c r="Z72" s="82" t="s">
        <v>117</v>
      </c>
      <c r="AA72" s="74"/>
      <c r="AB72" s="88"/>
      <c r="AC72" s="59"/>
    </row>
    <row r="73" customFormat="false" ht="16.5" hidden="false" customHeight="true" outlineLevel="0" collapsed="false">
      <c r="B73" s="89" t="s">
        <v>127</v>
      </c>
      <c r="C73" s="86"/>
      <c r="D73" s="72"/>
      <c r="E73" s="72"/>
      <c r="F73" s="90"/>
      <c r="G73" s="78"/>
      <c r="H73" s="72" t="s">
        <v>102</v>
      </c>
      <c r="I73" s="86"/>
      <c r="J73" s="72"/>
      <c r="K73" s="72"/>
      <c r="L73" s="90"/>
      <c r="M73" s="96"/>
      <c r="N73" s="72" t="s">
        <v>102</v>
      </c>
      <c r="O73" s="82"/>
      <c r="P73" s="74"/>
      <c r="Q73" s="90"/>
      <c r="R73" s="78"/>
      <c r="S73" s="59"/>
      <c r="T73" s="72" t="s">
        <v>102</v>
      </c>
      <c r="U73" s="82"/>
      <c r="V73" s="74"/>
      <c r="W73" s="90"/>
      <c r="X73" s="87"/>
      <c r="Y73" s="72" t="s">
        <v>102</v>
      </c>
      <c r="Z73" s="82"/>
      <c r="AA73" s="74"/>
      <c r="AB73" s="90"/>
      <c r="AC73" s="59"/>
    </row>
    <row r="74" customFormat="false" ht="16.5" hidden="false" customHeight="true" outlineLevel="0" collapsed="false">
      <c r="B74" s="91"/>
      <c r="C74" s="64"/>
      <c r="D74" s="91"/>
      <c r="E74" s="79" t="s">
        <v>39</v>
      </c>
      <c r="F74" s="92" t="n">
        <f aca="false">SUM(F67:F73)</f>
        <v>0</v>
      </c>
      <c r="G74" s="93"/>
      <c r="H74" s="91"/>
      <c r="I74" s="64"/>
      <c r="J74" s="91"/>
      <c r="K74" s="79" t="s">
        <v>39</v>
      </c>
      <c r="L74" s="92" t="n">
        <f aca="false">SUM(L67:L73)</f>
        <v>0</v>
      </c>
      <c r="M74" s="93"/>
      <c r="N74" s="91"/>
      <c r="O74" s="91"/>
      <c r="P74" s="79" t="s">
        <v>39</v>
      </c>
      <c r="Q74" s="73" t="n">
        <f aca="false">SUM(Q61:Q73)</f>
        <v>6211.56</v>
      </c>
      <c r="R74" s="93"/>
      <c r="S74" s="59"/>
      <c r="T74" s="91"/>
      <c r="U74" s="91"/>
      <c r="V74" s="79" t="s">
        <v>39</v>
      </c>
      <c r="W74" s="73" t="n">
        <f aca="false">SUM(W61:W73)</f>
        <v>10764.84</v>
      </c>
      <c r="X74" s="94"/>
      <c r="Y74" s="91"/>
      <c r="Z74" s="91"/>
      <c r="AA74" s="79" t="s">
        <v>39</v>
      </c>
      <c r="AB74" s="73" t="n">
        <f aca="false">SUM(AB61:AB73)</f>
        <v>6995</v>
      </c>
      <c r="AC74" s="59"/>
    </row>
    <row r="75" s="59" customFormat="true" ht="16.5" hidden="false" customHeight="true" outlineLevel="0" collapsed="false">
      <c r="B75" s="81" t="s">
        <v>128</v>
      </c>
    </row>
    <row r="76" s="59" customFormat="true" ht="16.5" hidden="false" customHeight="true" outlineLevel="0" collapsed="false"/>
    <row r="77" s="59" customFormat="true" ht="16.5" hidden="false" customHeight="true" outlineLevel="0" collapsed="false"/>
    <row r="78" s="59" customFormat="true" ht="16.5" hidden="false" customHeight="true" outlineLevel="0" collapsed="false">
      <c r="X78" s="97"/>
    </row>
  </sheetData>
  <mergeCells count="40">
    <mergeCell ref="B1:AB1"/>
    <mergeCell ref="B3:C3"/>
    <mergeCell ref="D3:R3"/>
    <mergeCell ref="B4:C4"/>
    <mergeCell ref="D4:R4"/>
    <mergeCell ref="B5:C5"/>
    <mergeCell ref="D5:R5"/>
    <mergeCell ref="B6:C6"/>
    <mergeCell ref="D6:R6"/>
    <mergeCell ref="B8:AB8"/>
    <mergeCell ref="B16:E16"/>
    <mergeCell ref="H16:K16"/>
    <mergeCell ref="N16:Q16"/>
    <mergeCell ref="T16:W16"/>
    <mergeCell ref="Y16:AB16"/>
    <mergeCell ref="B18:B20"/>
    <mergeCell ref="H18:H20"/>
    <mergeCell ref="N18:N20"/>
    <mergeCell ref="T18:T20"/>
    <mergeCell ref="Y18:Y20"/>
    <mergeCell ref="B35:B37"/>
    <mergeCell ref="H35:H37"/>
    <mergeCell ref="N35:N37"/>
    <mergeCell ref="T35:T37"/>
    <mergeCell ref="Y35:Y37"/>
    <mergeCell ref="B49:E49"/>
    <mergeCell ref="H49:K49"/>
    <mergeCell ref="N49:Q49"/>
    <mergeCell ref="T49:W49"/>
    <mergeCell ref="Y49:AB49"/>
    <mergeCell ref="B51:B53"/>
    <mergeCell ref="H51:H53"/>
    <mergeCell ref="N51:N53"/>
    <mergeCell ref="T51:T53"/>
    <mergeCell ref="Y51:Y53"/>
    <mergeCell ref="B67:B69"/>
    <mergeCell ref="H67:H69"/>
    <mergeCell ref="N67:N69"/>
    <mergeCell ref="T67:T69"/>
    <mergeCell ref="Y67:Y69"/>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6" activeCellId="0" sqref="B46"/>
    </sheetView>
  </sheetViews>
  <sheetFormatPr defaultColWidth="11.43359375" defaultRowHeight="16.5" customHeight="true" zeroHeight="false" outlineLevelRow="0" outlineLevelCol="0"/>
  <cols>
    <col collapsed="false" customWidth="true" hidden="false" outlineLevel="0" max="1" min="1" style="98" width="3.15"/>
    <col collapsed="false" customWidth="true" hidden="false" outlineLevel="0" max="2" min="2" style="99" width="17.15"/>
    <col collapsed="false" customWidth="true" hidden="false" outlineLevel="0" max="3" min="3" style="99" width="34"/>
    <col collapsed="false" customWidth="true" hidden="false" outlineLevel="0" max="4" min="4" style="99" width="24.14"/>
    <col collapsed="false" customWidth="true" hidden="false" outlineLevel="0" max="5" min="5" style="99" width="18.71"/>
    <col collapsed="false" customWidth="true" hidden="false" outlineLevel="0" max="6" min="6" style="99" width="19.71"/>
    <col collapsed="false" customWidth="true" hidden="false" outlineLevel="0" max="8" min="7" style="99" width="16.84"/>
    <col collapsed="false" customWidth="true" hidden="false" outlineLevel="0" max="9" min="9" style="99" width="31.42"/>
    <col collapsed="false" customWidth="true" hidden="false" outlineLevel="0" max="11" min="10" style="99" width="21.14"/>
    <col collapsed="false" customWidth="true" hidden="false" outlineLevel="0" max="12" min="12" style="99" width="26"/>
    <col collapsed="false" customWidth="true" hidden="false" outlineLevel="0" max="13" min="13" style="100" width="17"/>
    <col collapsed="false" customWidth="true" hidden="false" outlineLevel="0" max="14" min="14" style="99" width="17.71"/>
    <col collapsed="false" customWidth="true" hidden="false" outlineLevel="0" max="15" min="15" style="99" width="22.57"/>
    <col collapsed="false" customWidth="true" hidden="false" outlineLevel="0" max="16" min="16" style="99" width="15"/>
    <col collapsed="false" customWidth="true" hidden="false" outlineLevel="0" max="18" min="17" style="99" width="21.14"/>
    <col collapsed="false" customWidth="false" hidden="false" outlineLevel="0" max="16384" min="19" style="99" width="11.43"/>
  </cols>
  <sheetData>
    <row r="1" customFormat="false" ht="21.75" hidden="false" customHeight="true" outlineLevel="0" collapsed="false">
      <c r="B1" s="13" t="s">
        <v>132</v>
      </c>
      <c r="C1" s="13"/>
      <c r="D1" s="13"/>
      <c r="E1" s="13"/>
      <c r="F1" s="13"/>
      <c r="G1" s="13"/>
      <c r="H1" s="13"/>
      <c r="I1" s="13"/>
      <c r="J1" s="13"/>
      <c r="K1" s="13"/>
      <c r="L1" s="13"/>
      <c r="M1" s="13"/>
      <c r="N1" s="13"/>
      <c r="O1" s="13"/>
      <c r="P1" s="13"/>
      <c r="Q1" s="13"/>
      <c r="R1" s="13"/>
    </row>
    <row r="2" s="98" customFormat="true" ht="16.5" hidden="false" customHeight="true" outlineLevel="0" collapsed="false">
      <c r="M2" s="101"/>
    </row>
    <row r="3" s="102" customFormat="true" ht="15.75" hidden="false" customHeight="true" outlineLevel="0" collapsed="false">
      <c r="B3" s="61" t="s">
        <v>4</v>
      </c>
      <c r="C3" s="61"/>
      <c r="D3" s="61"/>
      <c r="E3" s="16" t="s">
        <v>5</v>
      </c>
      <c r="F3" s="16"/>
      <c r="G3" s="16"/>
      <c r="H3" s="16"/>
      <c r="I3" s="16"/>
      <c r="J3" s="16"/>
      <c r="K3" s="16"/>
      <c r="L3" s="16"/>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row>
    <row r="4" s="102" customFormat="true" ht="15.75" hidden="false" customHeight="true" outlineLevel="0" collapsed="false">
      <c r="B4" s="61" t="s">
        <v>68</v>
      </c>
      <c r="C4" s="61"/>
      <c r="D4" s="61"/>
      <c r="E4" s="16" t="s">
        <v>7</v>
      </c>
      <c r="F4" s="16"/>
      <c r="G4" s="16"/>
      <c r="H4" s="16"/>
      <c r="I4" s="16"/>
      <c r="J4" s="16"/>
      <c r="K4" s="16"/>
      <c r="L4" s="16"/>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row>
    <row r="5" s="102" customFormat="true" ht="15.75" hidden="false" customHeight="true" outlineLevel="0" collapsed="false">
      <c r="B5" s="61" t="s">
        <v>69</v>
      </c>
      <c r="C5" s="61"/>
      <c r="D5" s="61"/>
      <c r="E5" s="16" t="s">
        <v>9</v>
      </c>
      <c r="F5" s="16"/>
      <c r="G5" s="16"/>
      <c r="H5" s="16"/>
      <c r="I5" s="16"/>
      <c r="J5" s="16"/>
      <c r="K5" s="16"/>
      <c r="L5" s="16"/>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row>
    <row r="6" s="102" customFormat="true" ht="15.75" hidden="false" customHeight="true" outlineLevel="0" collapsed="false">
      <c r="B6" s="61" t="s">
        <v>70</v>
      </c>
      <c r="C6" s="61"/>
      <c r="D6" s="61"/>
      <c r="E6" s="16" t="s">
        <v>11</v>
      </c>
      <c r="F6" s="16"/>
      <c r="G6" s="16"/>
      <c r="H6" s="16"/>
      <c r="I6" s="16"/>
      <c r="J6" s="16"/>
      <c r="K6" s="16"/>
      <c r="L6" s="16"/>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row>
    <row r="7" s="102" customFormat="true" ht="12.75" hidden="false" customHeight="true" outlineLevel="0" collapsed="false">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row>
    <row r="8" customFormat="false" ht="16.5" hidden="false" customHeight="true" outlineLevel="0" collapsed="false">
      <c r="B8" s="62" t="s">
        <v>133</v>
      </c>
      <c r="C8" s="62"/>
      <c r="D8" s="62"/>
      <c r="E8" s="62"/>
      <c r="F8" s="62"/>
      <c r="G8" s="62"/>
      <c r="H8" s="62"/>
      <c r="I8" s="62"/>
      <c r="J8" s="62"/>
      <c r="K8" s="62"/>
      <c r="L8" s="62"/>
      <c r="M8" s="62"/>
      <c r="N8" s="62"/>
      <c r="O8" s="62"/>
      <c r="P8" s="62"/>
      <c r="Q8" s="62"/>
      <c r="R8" s="62"/>
    </row>
    <row r="9" s="98" customFormat="true" ht="15" hidden="false" customHeight="true" outlineLevel="0" collapsed="false">
      <c r="B9" s="104"/>
      <c r="C9" s="104"/>
      <c r="D9" s="104"/>
      <c r="E9" s="104"/>
      <c r="F9" s="104"/>
      <c r="G9" s="104"/>
      <c r="H9" s="104"/>
      <c r="I9" s="104"/>
      <c r="J9" s="104"/>
      <c r="K9" s="104"/>
      <c r="L9" s="104"/>
      <c r="M9" s="104"/>
      <c r="N9" s="104"/>
      <c r="O9" s="104"/>
      <c r="P9" s="104"/>
      <c r="Q9" s="104"/>
      <c r="R9" s="104"/>
    </row>
    <row r="10" s="98" customFormat="true" ht="15" hidden="false" customHeight="true" outlineLevel="0" collapsed="false">
      <c r="B10" s="63" t="s">
        <v>134</v>
      </c>
      <c r="C10" s="104"/>
      <c r="D10" s="104"/>
      <c r="E10" s="104"/>
      <c r="F10" s="104"/>
      <c r="G10" s="104"/>
      <c r="H10" s="104"/>
      <c r="I10" s="104"/>
      <c r="J10" s="104"/>
      <c r="K10" s="104"/>
      <c r="L10" s="104"/>
      <c r="M10" s="104"/>
      <c r="N10" s="104"/>
      <c r="O10" s="104"/>
      <c r="P10" s="104"/>
      <c r="Q10" s="104"/>
      <c r="R10" s="104"/>
    </row>
    <row r="11" s="98" customFormat="true" ht="15" hidden="false" customHeight="true" outlineLevel="0" collapsed="false">
      <c r="B11" s="104"/>
      <c r="C11" s="104"/>
      <c r="D11" s="104"/>
      <c r="E11" s="104"/>
      <c r="F11" s="104"/>
      <c r="G11" s="104"/>
      <c r="H11" s="104"/>
      <c r="I11" s="104"/>
      <c r="J11" s="104"/>
      <c r="K11" s="104"/>
      <c r="L11" s="104"/>
      <c r="M11" s="104"/>
      <c r="N11" s="104"/>
      <c r="O11" s="104"/>
      <c r="P11" s="104"/>
      <c r="Q11" s="104"/>
      <c r="R11" s="104"/>
    </row>
    <row r="12" customFormat="false" ht="16.5" hidden="false" customHeight="true" outlineLevel="0" collapsed="false">
      <c r="B12" s="67" t="s">
        <v>79</v>
      </c>
      <c r="C12" s="67"/>
      <c r="D12" s="67"/>
      <c r="E12" s="67"/>
      <c r="F12" s="67"/>
      <c r="G12" s="98"/>
      <c r="H12" s="67" t="s">
        <v>130</v>
      </c>
      <c r="I12" s="67"/>
      <c r="J12" s="67"/>
      <c r="K12" s="67"/>
      <c r="L12" s="67"/>
      <c r="M12" s="104"/>
      <c r="N12" s="98"/>
      <c r="O12" s="98"/>
      <c r="P12" s="98"/>
      <c r="Q12" s="98"/>
      <c r="R12" s="98"/>
      <c r="S12" s="98"/>
    </row>
    <row r="13" customFormat="false" ht="33.75" hidden="false" customHeight="true" outlineLevel="0" collapsed="false">
      <c r="B13" s="70" t="s">
        <v>135</v>
      </c>
      <c r="C13" s="70" t="s">
        <v>136</v>
      </c>
      <c r="D13" s="70" t="s">
        <v>137</v>
      </c>
      <c r="E13" s="70" t="s">
        <v>138</v>
      </c>
      <c r="F13" s="70" t="s">
        <v>139</v>
      </c>
      <c r="G13" s="98"/>
      <c r="H13" s="70" t="s">
        <v>135</v>
      </c>
      <c r="I13" s="70" t="s">
        <v>136</v>
      </c>
      <c r="J13" s="70" t="s">
        <v>137</v>
      </c>
      <c r="K13" s="70" t="s">
        <v>138</v>
      </c>
      <c r="L13" s="70" t="s">
        <v>139</v>
      </c>
      <c r="M13" s="104"/>
      <c r="N13" s="98"/>
      <c r="O13" s="98"/>
      <c r="P13" s="98"/>
      <c r="Q13" s="98"/>
      <c r="R13" s="98"/>
      <c r="S13" s="98"/>
    </row>
    <row r="14" customFormat="false" ht="18" hidden="false" customHeight="true" outlineLevel="0" collapsed="false">
      <c r="B14" s="105" t="s">
        <v>92</v>
      </c>
      <c r="C14" s="106" t="n">
        <v>12</v>
      </c>
      <c r="D14" s="106" t="s">
        <v>20</v>
      </c>
      <c r="E14" s="106" t="s">
        <v>20</v>
      </c>
      <c r="F14" s="106" t="s">
        <v>20</v>
      </c>
      <c r="G14" s="98"/>
      <c r="H14" s="105" t="s">
        <v>92</v>
      </c>
      <c r="I14" s="106"/>
      <c r="J14" s="106"/>
      <c r="K14" s="106"/>
      <c r="L14" s="106"/>
      <c r="M14" s="104"/>
      <c r="N14" s="98"/>
      <c r="O14" s="98"/>
      <c r="P14" s="98"/>
      <c r="Q14" s="98"/>
      <c r="R14" s="98"/>
      <c r="S14" s="98"/>
    </row>
    <row r="15" customFormat="false" ht="18" hidden="false" customHeight="true" outlineLevel="0" collapsed="false">
      <c r="B15" s="72" t="s">
        <v>93</v>
      </c>
      <c r="C15" s="107" t="n">
        <v>20</v>
      </c>
      <c r="D15" s="107" t="s">
        <v>20</v>
      </c>
      <c r="E15" s="107" t="s">
        <v>20</v>
      </c>
      <c r="F15" s="107" t="s">
        <v>20</v>
      </c>
      <c r="G15" s="98"/>
      <c r="H15" s="72" t="s">
        <v>93</v>
      </c>
      <c r="I15" s="107"/>
      <c r="J15" s="107"/>
      <c r="K15" s="107"/>
      <c r="L15" s="107"/>
      <c r="M15" s="104"/>
      <c r="N15" s="98"/>
      <c r="O15" s="98"/>
      <c r="P15" s="98"/>
      <c r="Q15" s="98"/>
      <c r="R15" s="98"/>
      <c r="S15" s="98"/>
    </row>
    <row r="16" customFormat="false" ht="18" hidden="false" customHeight="true" outlineLevel="0" collapsed="false">
      <c r="B16" s="72" t="s">
        <v>94</v>
      </c>
      <c r="C16" s="107"/>
      <c r="D16" s="107"/>
      <c r="E16" s="107"/>
      <c r="F16" s="107"/>
      <c r="G16" s="98"/>
      <c r="H16" s="72" t="s">
        <v>94</v>
      </c>
      <c r="I16" s="107" t="n">
        <v>21</v>
      </c>
      <c r="J16" s="107" t="s">
        <v>20</v>
      </c>
      <c r="K16" s="107" t="s">
        <v>20</v>
      </c>
      <c r="L16" s="107" t="s">
        <v>20</v>
      </c>
      <c r="M16" s="104"/>
      <c r="N16" s="98"/>
      <c r="O16" s="98"/>
      <c r="P16" s="98"/>
      <c r="Q16" s="98"/>
      <c r="R16" s="98"/>
      <c r="S16" s="98"/>
    </row>
    <row r="17" customFormat="false" ht="18" hidden="false" customHeight="true" outlineLevel="0" collapsed="false">
      <c r="B17" s="72" t="s">
        <v>95</v>
      </c>
      <c r="C17" s="107"/>
      <c r="D17" s="107"/>
      <c r="E17" s="107"/>
      <c r="F17" s="107"/>
      <c r="G17" s="98"/>
      <c r="H17" s="72" t="s">
        <v>95</v>
      </c>
      <c r="I17" s="107" t="n">
        <v>10</v>
      </c>
      <c r="J17" s="107" t="s">
        <v>20</v>
      </c>
      <c r="K17" s="107" t="s">
        <v>20</v>
      </c>
      <c r="L17" s="107" t="s">
        <v>20</v>
      </c>
      <c r="M17" s="104"/>
      <c r="N17" s="98"/>
      <c r="O17" s="98"/>
      <c r="P17" s="98"/>
      <c r="Q17" s="98"/>
      <c r="R17" s="98"/>
      <c r="S17" s="98"/>
    </row>
    <row r="18" customFormat="false" ht="18" hidden="false" customHeight="true" outlineLevel="0" collapsed="false">
      <c r="B18" s="72" t="s">
        <v>96</v>
      </c>
      <c r="C18" s="106"/>
      <c r="D18" s="106"/>
      <c r="E18" s="106"/>
      <c r="F18" s="106"/>
      <c r="G18" s="98"/>
      <c r="H18" s="72" t="s">
        <v>96</v>
      </c>
      <c r="I18" s="106" t="n">
        <v>18</v>
      </c>
      <c r="J18" s="106" t="s">
        <v>20</v>
      </c>
      <c r="K18" s="106" t="s">
        <v>20</v>
      </c>
      <c r="L18" s="106" t="s">
        <v>20</v>
      </c>
      <c r="M18" s="104"/>
      <c r="N18" s="98"/>
      <c r="O18" s="98"/>
      <c r="P18" s="98"/>
      <c r="Q18" s="98"/>
      <c r="R18" s="98"/>
      <c r="S18" s="98"/>
    </row>
    <row r="19" customFormat="false" ht="18" hidden="false" customHeight="true" outlineLevel="0" collapsed="false">
      <c r="B19" s="72" t="s">
        <v>97</v>
      </c>
      <c r="C19" s="107"/>
      <c r="D19" s="107"/>
      <c r="E19" s="107"/>
      <c r="F19" s="107"/>
      <c r="G19" s="98"/>
      <c r="H19" s="72" t="s">
        <v>97</v>
      </c>
      <c r="I19" s="107" t="n">
        <v>7</v>
      </c>
      <c r="J19" s="107" t="s">
        <v>20</v>
      </c>
      <c r="K19" s="107" t="s">
        <v>20</v>
      </c>
      <c r="L19" s="107" t="s">
        <v>20</v>
      </c>
      <c r="M19" s="104"/>
      <c r="N19" s="98"/>
      <c r="O19" s="98"/>
      <c r="P19" s="98"/>
      <c r="Q19" s="98"/>
      <c r="R19" s="98"/>
      <c r="S19" s="98"/>
    </row>
    <row r="20" customFormat="false" ht="18" hidden="false" customHeight="true" outlineLevel="0" collapsed="false">
      <c r="B20" s="72" t="s">
        <v>98</v>
      </c>
      <c r="C20" s="107"/>
      <c r="D20" s="107"/>
      <c r="E20" s="107"/>
      <c r="F20" s="107"/>
      <c r="G20" s="98"/>
      <c r="H20" s="72" t="s">
        <v>98</v>
      </c>
      <c r="I20" s="107" t="n">
        <v>22</v>
      </c>
      <c r="J20" s="107" t="s">
        <v>20</v>
      </c>
      <c r="K20" s="107" t="s">
        <v>22</v>
      </c>
      <c r="L20" s="107" t="s">
        <v>20</v>
      </c>
      <c r="M20" s="104"/>
      <c r="N20" s="98"/>
      <c r="O20" s="98"/>
      <c r="P20" s="98"/>
      <c r="Q20" s="98"/>
      <c r="R20" s="98"/>
      <c r="S20" s="98"/>
    </row>
    <row r="21" customFormat="false" ht="18" hidden="false" customHeight="true" outlineLevel="0" collapsed="false">
      <c r="B21" s="72" t="s">
        <v>100</v>
      </c>
      <c r="C21" s="107"/>
      <c r="D21" s="107"/>
      <c r="E21" s="107"/>
      <c r="F21" s="107"/>
      <c r="G21" s="98"/>
      <c r="H21" s="72" t="s">
        <v>100</v>
      </c>
      <c r="I21" s="107"/>
      <c r="J21" s="107"/>
      <c r="K21" s="107"/>
      <c r="L21" s="107"/>
      <c r="M21" s="104"/>
      <c r="N21" s="98"/>
      <c r="O21" s="98"/>
      <c r="P21" s="98"/>
      <c r="Q21" s="98"/>
      <c r="R21" s="98"/>
      <c r="S21" s="98"/>
    </row>
    <row r="22" customFormat="false" ht="18" hidden="false" customHeight="true" outlineLevel="0" collapsed="false">
      <c r="B22" s="72" t="s">
        <v>101</v>
      </c>
      <c r="C22" s="107"/>
      <c r="D22" s="107"/>
      <c r="E22" s="107"/>
      <c r="F22" s="107"/>
      <c r="G22" s="98"/>
      <c r="H22" s="72" t="s">
        <v>101</v>
      </c>
      <c r="I22" s="107"/>
      <c r="J22" s="107"/>
      <c r="K22" s="107"/>
      <c r="L22" s="107"/>
      <c r="M22" s="104"/>
      <c r="N22" s="98"/>
      <c r="O22" s="98"/>
      <c r="P22" s="98"/>
      <c r="Q22" s="98"/>
      <c r="R22" s="98"/>
      <c r="S22" s="98"/>
    </row>
    <row r="23" customFormat="false" ht="18" hidden="false" customHeight="true" outlineLevel="0" collapsed="false">
      <c r="B23" s="72" t="s">
        <v>102</v>
      </c>
      <c r="C23" s="72"/>
      <c r="D23" s="72"/>
      <c r="E23" s="72"/>
      <c r="F23" s="72"/>
      <c r="G23" s="98"/>
      <c r="H23" s="72" t="s">
        <v>102</v>
      </c>
      <c r="I23" s="72"/>
      <c r="J23" s="72"/>
      <c r="K23" s="72"/>
      <c r="L23" s="72"/>
      <c r="M23" s="104"/>
      <c r="N23" s="98"/>
      <c r="O23" s="98"/>
      <c r="P23" s="98"/>
      <c r="Q23" s="98"/>
      <c r="R23" s="98"/>
      <c r="S23" s="98"/>
    </row>
    <row r="24" customFormat="false" ht="24" hidden="false" customHeight="true" outlineLevel="0" collapsed="false">
      <c r="B24" s="108"/>
      <c r="C24" s="79" t="s">
        <v>140</v>
      </c>
      <c r="D24" s="72" t="n">
        <f aca="false">COUNT(D14:D23,sí)</f>
        <v>0</v>
      </c>
      <c r="E24" s="72" t="n">
        <f aca="false">COUNT(E14:E23,sí)</f>
        <v>0</v>
      </c>
      <c r="F24" s="72" t="n">
        <f aca="false">COUNT(F14:F23,sí)</f>
        <v>0</v>
      </c>
      <c r="G24" s="98"/>
      <c r="H24" s="108"/>
      <c r="I24" s="79" t="s">
        <v>140</v>
      </c>
      <c r="J24" s="72" t="n">
        <f aca="false">COUNT(J14:J23,sí)</f>
        <v>0</v>
      </c>
      <c r="K24" s="72" t="n">
        <f aca="false">COUNT(K14:K23,sí)</f>
        <v>0</v>
      </c>
      <c r="L24" s="72" t="n">
        <f aca="false">COUNT(L14:L23,sí)</f>
        <v>0</v>
      </c>
      <c r="M24" s="104"/>
      <c r="N24" s="98"/>
      <c r="O24" s="98"/>
      <c r="P24" s="98"/>
      <c r="Q24" s="98"/>
      <c r="R24" s="98"/>
      <c r="S24" s="98"/>
    </row>
    <row r="25" customFormat="false" ht="12.75" hidden="false" customHeight="true" outlineLevel="0" collapsed="false">
      <c r="B25" s="109" t="s">
        <v>141</v>
      </c>
      <c r="C25" s="98"/>
      <c r="D25" s="98"/>
      <c r="E25" s="98"/>
      <c r="F25" s="98"/>
      <c r="G25" s="98"/>
      <c r="H25" s="98"/>
      <c r="I25" s="98"/>
      <c r="J25" s="98"/>
      <c r="K25" s="98"/>
      <c r="L25" s="98"/>
      <c r="M25" s="104"/>
      <c r="N25" s="98"/>
      <c r="O25" s="98"/>
      <c r="P25" s="98"/>
      <c r="Q25" s="98"/>
      <c r="R25" s="98"/>
      <c r="S25" s="98"/>
    </row>
    <row r="26" s="98" customFormat="true" ht="15" hidden="false" customHeight="true" outlineLevel="0" collapsed="false">
      <c r="B26" s="110" t="s">
        <v>73</v>
      </c>
      <c r="C26" s="111"/>
      <c r="H26" s="112"/>
      <c r="I26" s="112"/>
      <c r="M26" s="101"/>
      <c r="N26" s="112"/>
      <c r="O26" s="112"/>
    </row>
    <row r="27" s="98" customFormat="true" ht="12.75" hidden="false" customHeight="true" outlineLevel="0" collapsed="false">
      <c r="B27" s="113"/>
      <c r="C27" s="113"/>
      <c r="H27" s="112"/>
      <c r="I27" s="112"/>
      <c r="M27" s="101"/>
      <c r="N27" s="112"/>
      <c r="O27" s="112"/>
    </row>
    <row r="28" s="98" customFormat="true" ht="16.5" hidden="false" customHeight="true" outlineLevel="0" collapsed="false">
      <c r="B28" s="114" t="s">
        <v>142</v>
      </c>
      <c r="C28" s="114"/>
      <c r="H28" s="114" t="s">
        <v>143</v>
      </c>
      <c r="I28" s="114"/>
      <c r="M28" s="101"/>
      <c r="N28" s="115" t="s">
        <v>144</v>
      </c>
      <c r="O28" s="115"/>
    </row>
    <row r="29" s="98" customFormat="true" ht="14.25" hidden="false" customHeight="true" outlineLevel="0" collapsed="false">
      <c r="B29" s="112"/>
      <c r="C29" s="112"/>
      <c r="H29" s="112"/>
      <c r="I29" s="112"/>
      <c r="M29" s="101"/>
      <c r="N29" s="112"/>
      <c r="O29" s="112"/>
    </row>
    <row r="30" customFormat="false" ht="16.5" hidden="false" customHeight="true" outlineLevel="0" collapsed="false">
      <c r="B30" s="67" t="s">
        <v>79</v>
      </c>
      <c r="C30" s="67"/>
      <c r="D30" s="67"/>
      <c r="E30" s="67"/>
      <c r="F30" s="67"/>
      <c r="G30" s="98"/>
      <c r="H30" s="67" t="s">
        <v>79</v>
      </c>
      <c r="I30" s="67"/>
      <c r="J30" s="67"/>
      <c r="K30" s="67"/>
      <c r="L30" s="67"/>
      <c r="M30" s="101"/>
      <c r="N30" s="67" t="s">
        <v>79</v>
      </c>
      <c r="O30" s="67"/>
      <c r="P30" s="67"/>
      <c r="Q30" s="67"/>
      <c r="R30" s="67"/>
    </row>
    <row r="31" customFormat="false" ht="46.5" hidden="false" customHeight="true" outlineLevel="0" collapsed="false">
      <c r="B31" s="70" t="s">
        <v>135</v>
      </c>
      <c r="C31" s="70" t="s">
        <v>145</v>
      </c>
      <c r="D31" s="70" t="s">
        <v>146</v>
      </c>
      <c r="E31" s="70" t="s">
        <v>147</v>
      </c>
      <c r="F31" s="116" t="s">
        <v>148</v>
      </c>
      <c r="G31" s="98"/>
      <c r="H31" s="70" t="s">
        <v>135</v>
      </c>
      <c r="I31" s="70" t="s">
        <v>149</v>
      </c>
      <c r="J31" s="70" t="s">
        <v>150</v>
      </c>
      <c r="K31" s="70" t="s">
        <v>151</v>
      </c>
      <c r="L31" s="70" t="s">
        <v>152</v>
      </c>
      <c r="M31" s="101"/>
      <c r="N31" s="70" t="s">
        <v>135</v>
      </c>
      <c r="O31" s="70" t="s">
        <v>153</v>
      </c>
      <c r="P31" s="70" t="s">
        <v>154</v>
      </c>
      <c r="Q31" s="70" t="s">
        <v>155</v>
      </c>
      <c r="R31" s="70" t="s">
        <v>156</v>
      </c>
    </row>
    <row r="32" customFormat="false" ht="18" hidden="false" customHeight="true" outlineLevel="0" collapsed="false">
      <c r="B32" s="82" t="s">
        <v>92</v>
      </c>
      <c r="C32" s="117" t="s">
        <v>157</v>
      </c>
      <c r="D32" s="118" t="n">
        <v>2</v>
      </c>
      <c r="E32" s="119" t="n">
        <v>57.2</v>
      </c>
      <c r="F32" s="120" t="n">
        <v>57.2</v>
      </c>
      <c r="G32" s="98"/>
      <c r="H32" s="82" t="s">
        <v>92</v>
      </c>
      <c r="I32" s="72" t="s">
        <v>158</v>
      </c>
      <c r="J32" s="121" t="n">
        <v>22</v>
      </c>
      <c r="K32" s="122" t="n">
        <v>55</v>
      </c>
      <c r="L32" s="122" t="n">
        <v>605</v>
      </c>
      <c r="M32" s="101"/>
      <c r="N32" s="82" t="s">
        <v>92</v>
      </c>
      <c r="O32" s="72" t="s">
        <v>159</v>
      </c>
      <c r="P32" s="121" t="n">
        <v>48</v>
      </c>
      <c r="Q32" s="123" t="n">
        <v>30</v>
      </c>
      <c r="R32" s="123" t="n">
        <v>720</v>
      </c>
    </row>
    <row r="33" customFormat="false" ht="18" hidden="false" customHeight="true" outlineLevel="0" collapsed="false">
      <c r="B33" s="82"/>
      <c r="C33" s="117"/>
      <c r="D33" s="118"/>
      <c r="E33" s="119"/>
      <c r="F33" s="120"/>
      <c r="G33" s="98"/>
      <c r="H33" s="82"/>
      <c r="I33" s="72"/>
      <c r="J33" s="121"/>
      <c r="K33" s="122"/>
      <c r="L33" s="122"/>
      <c r="M33" s="101"/>
      <c r="N33" s="82"/>
      <c r="O33" s="72"/>
      <c r="P33" s="121"/>
      <c r="Q33" s="123"/>
      <c r="R33" s="123"/>
    </row>
    <row r="34" customFormat="false" ht="18" hidden="false" customHeight="true" outlineLevel="0" collapsed="false">
      <c r="B34" s="82"/>
      <c r="C34" s="117"/>
      <c r="D34" s="118"/>
      <c r="E34" s="119"/>
      <c r="F34" s="120"/>
      <c r="G34" s="98"/>
      <c r="H34" s="82"/>
      <c r="I34" s="72"/>
      <c r="J34" s="121"/>
      <c r="K34" s="122"/>
      <c r="L34" s="122"/>
      <c r="M34" s="101"/>
      <c r="N34" s="82"/>
      <c r="O34" s="72"/>
      <c r="P34" s="121"/>
      <c r="Q34" s="123"/>
      <c r="R34" s="123"/>
    </row>
    <row r="35" customFormat="false" ht="16.5" hidden="false" customHeight="true" outlineLevel="0" collapsed="false">
      <c r="B35" s="72" t="s">
        <v>93</v>
      </c>
      <c r="C35" s="117" t="s">
        <v>157</v>
      </c>
      <c r="D35" s="118" t="n">
        <v>4</v>
      </c>
      <c r="E35" s="124" t="n">
        <v>57.2</v>
      </c>
      <c r="F35" s="125" t="n">
        <v>148.72</v>
      </c>
      <c r="G35" s="98"/>
      <c r="H35" s="72" t="s">
        <v>93</v>
      </c>
      <c r="I35" s="72" t="s">
        <v>158</v>
      </c>
      <c r="J35" s="121" t="n">
        <v>116</v>
      </c>
      <c r="K35" s="122" t="n">
        <v>55</v>
      </c>
      <c r="L35" s="122" t="n">
        <v>4147</v>
      </c>
      <c r="M35" s="101"/>
      <c r="N35" s="72" t="s">
        <v>93</v>
      </c>
      <c r="O35" s="72" t="s">
        <v>159</v>
      </c>
      <c r="P35" s="121" t="n">
        <v>165</v>
      </c>
      <c r="Q35" s="126" t="n">
        <v>30</v>
      </c>
      <c r="R35" s="126" t="n">
        <v>3217.5</v>
      </c>
    </row>
    <row r="36" customFormat="false" ht="16.5" hidden="false" customHeight="true" outlineLevel="0" collapsed="false">
      <c r="B36" s="72" t="s">
        <v>94</v>
      </c>
      <c r="C36" s="72"/>
      <c r="D36" s="121"/>
      <c r="E36" s="123"/>
      <c r="F36" s="123"/>
      <c r="G36" s="98"/>
      <c r="H36" s="72" t="s">
        <v>94</v>
      </c>
      <c r="I36" s="72"/>
      <c r="J36" s="121"/>
      <c r="K36" s="122"/>
      <c r="L36" s="122"/>
      <c r="M36" s="101"/>
      <c r="N36" s="72" t="s">
        <v>94</v>
      </c>
      <c r="O36" s="72"/>
      <c r="P36" s="121"/>
      <c r="Q36" s="126"/>
      <c r="R36" s="126"/>
    </row>
    <row r="37" customFormat="false" ht="16.5" hidden="false" customHeight="true" outlineLevel="0" collapsed="false">
      <c r="B37" s="72" t="s">
        <v>95</v>
      </c>
      <c r="C37" s="72"/>
      <c r="D37" s="121"/>
      <c r="E37" s="127"/>
      <c r="F37" s="127"/>
      <c r="G37" s="98"/>
      <c r="H37" s="72" t="s">
        <v>95</v>
      </c>
      <c r="I37" s="72"/>
      <c r="J37" s="121"/>
      <c r="K37" s="122"/>
      <c r="L37" s="122"/>
      <c r="M37" s="101"/>
      <c r="N37" s="72" t="s">
        <v>95</v>
      </c>
      <c r="O37" s="72"/>
      <c r="P37" s="121"/>
      <c r="Q37" s="126"/>
      <c r="R37" s="126"/>
    </row>
    <row r="38" customFormat="false" ht="16.5" hidden="false" customHeight="true" outlineLevel="0" collapsed="false">
      <c r="B38" s="72" t="s">
        <v>96</v>
      </c>
      <c r="C38" s="72"/>
      <c r="D38" s="121"/>
      <c r="E38" s="127"/>
      <c r="F38" s="127"/>
      <c r="G38" s="98"/>
      <c r="H38" s="72" t="s">
        <v>96</v>
      </c>
      <c r="I38" s="72"/>
      <c r="J38" s="121"/>
      <c r="K38" s="122"/>
      <c r="L38" s="122"/>
      <c r="M38" s="101"/>
      <c r="N38" s="72" t="s">
        <v>96</v>
      </c>
      <c r="O38" s="72"/>
      <c r="P38" s="121"/>
      <c r="Q38" s="126"/>
      <c r="R38" s="126"/>
    </row>
    <row r="39" customFormat="false" ht="16.5" hidden="false" customHeight="true" outlineLevel="0" collapsed="false">
      <c r="B39" s="72" t="s">
        <v>97</v>
      </c>
      <c r="C39" s="72"/>
      <c r="D39" s="121"/>
      <c r="E39" s="127"/>
      <c r="F39" s="127"/>
      <c r="G39" s="98"/>
      <c r="H39" s="72" t="s">
        <v>97</v>
      </c>
      <c r="I39" s="72"/>
      <c r="J39" s="121"/>
      <c r="K39" s="122"/>
      <c r="L39" s="122"/>
      <c r="M39" s="101"/>
      <c r="N39" s="72" t="s">
        <v>97</v>
      </c>
      <c r="O39" s="72"/>
      <c r="P39" s="121"/>
      <c r="Q39" s="126"/>
      <c r="R39" s="126"/>
    </row>
    <row r="40" customFormat="false" ht="16.5" hidden="false" customHeight="true" outlineLevel="0" collapsed="false">
      <c r="B40" s="72" t="s">
        <v>98</v>
      </c>
      <c r="C40" s="72"/>
      <c r="D40" s="121"/>
      <c r="E40" s="127"/>
      <c r="F40" s="127"/>
      <c r="G40" s="98"/>
      <c r="H40" s="72" t="s">
        <v>98</v>
      </c>
      <c r="I40" s="72"/>
      <c r="J40" s="121"/>
      <c r="K40" s="122"/>
      <c r="L40" s="122"/>
      <c r="M40" s="101"/>
      <c r="N40" s="72" t="s">
        <v>98</v>
      </c>
      <c r="O40" s="72"/>
      <c r="P40" s="121"/>
      <c r="Q40" s="126"/>
      <c r="R40" s="126"/>
    </row>
    <row r="41" customFormat="false" ht="16.5" hidden="false" customHeight="true" outlineLevel="0" collapsed="false">
      <c r="B41" s="72" t="s">
        <v>99</v>
      </c>
      <c r="C41" s="72"/>
      <c r="D41" s="121"/>
      <c r="E41" s="127"/>
      <c r="F41" s="127"/>
      <c r="G41" s="98"/>
      <c r="H41" s="72" t="s">
        <v>99</v>
      </c>
      <c r="I41" s="72"/>
      <c r="J41" s="121"/>
      <c r="K41" s="122"/>
      <c r="L41" s="122"/>
      <c r="M41" s="101"/>
      <c r="N41" s="72" t="s">
        <v>99</v>
      </c>
      <c r="O41" s="72"/>
      <c r="P41" s="121"/>
      <c r="Q41" s="126"/>
      <c r="R41" s="126"/>
    </row>
    <row r="42" customFormat="false" ht="16.5" hidden="false" customHeight="true" outlineLevel="0" collapsed="false">
      <c r="B42" s="72" t="s">
        <v>100</v>
      </c>
      <c r="C42" s="72"/>
      <c r="D42" s="121"/>
      <c r="E42" s="127"/>
      <c r="F42" s="127"/>
      <c r="G42" s="98"/>
      <c r="H42" s="72" t="s">
        <v>100</v>
      </c>
      <c r="I42" s="72"/>
      <c r="J42" s="121"/>
      <c r="K42" s="122"/>
      <c r="L42" s="122"/>
      <c r="M42" s="101"/>
      <c r="N42" s="72" t="s">
        <v>100</v>
      </c>
      <c r="O42" s="72"/>
      <c r="P42" s="121"/>
      <c r="Q42" s="126"/>
      <c r="R42" s="126"/>
    </row>
    <row r="43" customFormat="false" ht="16.5" hidden="false" customHeight="true" outlineLevel="0" collapsed="false">
      <c r="B43" s="72" t="s">
        <v>101</v>
      </c>
      <c r="C43" s="72"/>
      <c r="D43" s="121"/>
      <c r="E43" s="127"/>
      <c r="F43" s="127"/>
      <c r="G43" s="98"/>
      <c r="H43" s="72" t="s">
        <v>101</v>
      </c>
      <c r="I43" s="72"/>
      <c r="J43" s="121"/>
      <c r="K43" s="122"/>
      <c r="L43" s="122"/>
      <c r="M43" s="101"/>
      <c r="N43" s="72" t="s">
        <v>101</v>
      </c>
      <c r="O43" s="72"/>
      <c r="P43" s="121"/>
      <c r="Q43" s="126"/>
      <c r="R43" s="126"/>
    </row>
    <row r="44" customFormat="false" ht="16.5" hidden="false" customHeight="true" outlineLevel="0" collapsed="false">
      <c r="B44" s="72" t="s">
        <v>102</v>
      </c>
      <c r="C44" s="72"/>
      <c r="D44" s="121"/>
      <c r="E44" s="127"/>
      <c r="F44" s="127"/>
      <c r="G44" s="98"/>
      <c r="H44" s="72" t="s">
        <v>102</v>
      </c>
      <c r="I44" s="72"/>
      <c r="J44" s="121"/>
      <c r="K44" s="122"/>
      <c r="L44" s="122"/>
      <c r="M44" s="101"/>
      <c r="N44" s="72" t="s">
        <v>102</v>
      </c>
      <c r="O44" s="72"/>
      <c r="P44" s="121"/>
      <c r="Q44" s="126"/>
      <c r="R44" s="126"/>
    </row>
    <row r="45" customFormat="false" ht="16.5" hidden="false" customHeight="true" outlineLevel="0" collapsed="false">
      <c r="B45" s="79" t="s">
        <v>21</v>
      </c>
      <c r="C45" s="79"/>
      <c r="D45" s="121"/>
      <c r="E45" s="127"/>
      <c r="F45" s="127" t="n">
        <f aca="false">F32+F35</f>
        <v>205.92</v>
      </c>
      <c r="G45" s="98"/>
      <c r="H45" s="79" t="s">
        <v>21</v>
      </c>
      <c r="I45" s="79"/>
      <c r="J45" s="121"/>
      <c r="K45" s="127"/>
      <c r="L45" s="127" t="n">
        <f aca="false">L32+L35</f>
        <v>4752</v>
      </c>
      <c r="M45" s="101"/>
      <c r="N45" s="79" t="s">
        <v>21</v>
      </c>
      <c r="O45" s="79"/>
      <c r="P45" s="121"/>
      <c r="Q45" s="127"/>
      <c r="R45" s="127" t="n">
        <f aca="false">R32+R35</f>
        <v>3937.5</v>
      </c>
    </row>
    <row r="46" s="98" customFormat="true" ht="16.5" hidden="false" customHeight="true" outlineLevel="0" collapsed="false">
      <c r="B46" s="65" t="s">
        <v>160</v>
      </c>
      <c r="M46" s="101"/>
    </row>
    <row r="47" s="98" customFormat="true" ht="18" hidden="false" customHeight="true" outlineLevel="0" collapsed="false">
      <c r="M47" s="101"/>
    </row>
    <row r="48" s="98" customFormat="true" ht="18" hidden="false" customHeight="true" outlineLevel="0" collapsed="false">
      <c r="B48" s="110" t="s">
        <v>129</v>
      </c>
      <c r="C48" s="111"/>
      <c r="H48" s="112"/>
      <c r="I48" s="112"/>
      <c r="M48" s="101"/>
      <c r="N48" s="112"/>
      <c r="O48" s="112"/>
    </row>
    <row r="49" s="98" customFormat="true" ht="18" hidden="false" customHeight="true" outlineLevel="0" collapsed="false">
      <c r="B49" s="113"/>
      <c r="C49" s="113"/>
      <c r="H49" s="112"/>
      <c r="I49" s="112"/>
      <c r="M49" s="101"/>
      <c r="N49" s="112"/>
      <c r="O49" s="112"/>
    </row>
    <row r="50" s="98" customFormat="true" ht="18" hidden="false" customHeight="true" outlineLevel="0" collapsed="false">
      <c r="B50" s="112" t="s">
        <v>142</v>
      </c>
      <c r="C50" s="112"/>
      <c r="H50" s="112" t="s">
        <v>143</v>
      </c>
      <c r="I50" s="112"/>
      <c r="M50" s="101"/>
      <c r="N50" s="112" t="s">
        <v>161</v>
      </c>
      <c r="O50" s="112"/>
    </row>
    <row r="51" s="98" customFormat="true" ht="18" hidden="false" customHeight="true" outlineLevel="0" collapsed="false">
      <c r="B51" s="112"/>
      <c r="C51" s="112"/>
      <c r="H51" s="112"/>
      <c r="I51" s="112"/>
      <c r="M51" s="101"/>
      <c r="N51" s="112"/>
      <c r="O51" s="112"/>
    </row>
    <row r="52" s="98" customFormat="true" ht="18" hidden="false" customHeight="true" outlineLevel="0" collapsed="false">
      <c r="B52" s="67" t="s">
        <v>130</v>
      </c>
      <c r="C52" s="67"/>
      <c r="D52" s="67"/>
      <c r="E52" s="67"/>
      <c r="F52" s="67"/>
      <c r="H52" s="67" t="s">
        <v>130</v>
      </c>
      <c r="I52" s="67"/>
      <c r="J52" s="67"/>
      <c r="K52" s="67"/>
      <c r="L52" s="67"/>
      <c r="M52" s="101"/>
      <c r="N52" s="67" t="s">
        <v>79</v>
      </c>
      <c r="O52" s="67"/>
      <c r="P52" s="67"/>
      <c r="Q52" s="67"/>
      <c r="R52" s="67"/>
    </row>
    <row r="53" s="98" customFormat="true" ht="46.5" hidden="false" customHeight="true" outlineLevel="0" collapsed="false">
      <c r="B53" s="70" t="s">
        <v>135</v>
      </c>
      <c r="C53" s="70" t="s">
        <v>145</v>
      </c>
      <c r="D53" s="70" t="s">
        <v>146</v>
      </c>
      <c r="E53" s="70" t="s">
        <v>147</v>
      </c>
      <c r="F53" s="70" t="s">
        <v>162</v>
      </c>
      <c r="H53" s="70" t="s">
        <v>135</v>
      </c>
      <c r="I53" s="70" t="s">
        <v>149</v>
      </c>
      <c r="J53" s="70" t="s">
        <v>150</v>
      </c>
      <c r="K53" s="70" t="s">
        <v>151</v>
      </c>
      <c r="L53" s="70" t="s">
        <v>152</v>
      </c>
      <c r="M53" s="101"/>
      <c r="N53" s="70" t="s">
        <v>135</v>
      </c>
      <c r="O53" s="70" t="s">
        <v>153</v>
      </c>
      <c r="P53" s="70" t="s">
        <v>154</v>
      </c>
      <c r="Q53" s="70" t="s">
        <v>155</v>
      </c>
      <c r="R53" s="70" t="s">
        <v>156</v>
      </c>
    </row>
    <row r="54" s="98" customFormat="true" ht="18" hidden="false" customHeight="true" outlineLevel="0" collapsed="false">
      <c r="B54" s="72" t="s">
        <v>94</v>
      </c>
      <c r="C54" s="117" t="s">
        <v>157</v>
      </c>
      <c r="D54" s="118" t="n">
        <v>2</v>
      </c>
      <c r="E54" s="124" t="n">
        <v>57.2</v>
      </c>
      <c r="F54" s="124" t="n">
        <v>85.8</v>
      </c>
      <c r="H54" s="72" t="s">
        <v>94</v>
      </c>
      <c r="I54" s="72" t="s">
        <v>158</v>
      </c>
      <c r="J54" s="121" t="n">
        <v>81</v>
      </c>
      <c r="K54" s="122" t="n">
        <v>55</v>
      </c>
      <c r="L54" s="122" t="n">
        <v>3341.25</v>
      </c>
      <c r="M54" s="101"/>
      <c r="N54" s="72" t="s">
        <v>94</v>
      </c>
      <c r="O54" s="72" t="s">
        <v>159</v>
      </c>
      <c r="P54" s="121" t="n">
        <v>112</v>
      </c>
      <c r="Q54" s="123" t="n">
        <v>30</v>
      </c>
      <c r="R54" s="123" t="n">
        <v>2520</v>
      </c>
    </row>
    <row r="55" s="98" customFormat="true" ht="18" hidden="false" customHeight="true" outlineLevel="0" collapsed="false">
      <c r="B55" s="108" t="s">
        <v>95</v>
      </c>
      <c r="C55" s="128" t="s">
        <v>157</v>
      </c>
      <c r="D55" s="129" t="n">
        <v>4</v>
      </c>
      <c r="E55" s="130" t="n">
        <v>57.2</v>
      </c>
      <c r="F55" s="130" t="n">
        <v>80.08</v>
      </c>
      <c r="H55" s="108" t="s">
        <v>95</v>
      </c>
      <c r="I55" s="108" t="s">
        <v>158</v>
      </c>
      <c r="J55" s="131" t="n">
        <v>162</v>
      </c>
      <c r="K55" s="132" t="n">
        <v>55</v>
      </c>
      <c r="L55" s="132" t="n">
        <v>3118.5</v>
      </c>
      <c r="M55" s="101"/>
      <c r="N55" s="108" t="s">
        <v>95</v>
      </c>
      <c r="O55" s="108" t="s">
        <v>159</v>
      </c>
      <c r="P55" s="131" t="n">
        <v>219</v>
      </c>
      <c r="Q55" s="133" t="n">
        <v>30</v>
      </c>
      <c r="R55" s="133" t="n">
        <v>2299.5</v>
      </c>
    </row>
    <row r="56" customFormat="false" ht="16.5" hidden="false" customHeight="true" outlineLevel="0" collapsed="false">
      <c r="B56" s="134" t="s">
        <v>96</v>
      </c>
      <c r="C56" s="99" t="s">
        <v>157</v>
      </c>
      <c r="D56" s="99" t="n">
        <v>4</v>
      </c>
      <c r="E56" s="99" t="n">
        <v>57.2</v>
      </c>
      <c r="F56" s="99" t="n">
        <v>148.72</v>
      </c>
      <c r="H56" s="99" t="s">
        <v>96</v>
      </c>
      <c r="I56" s="99" t="s">
        <v>158</v>
      </c>
      <c r="J56" s="99" t="n">
        <v>150</v>
      </c>
      <c r="K56" s="99" t="n">
        <v>55</v>
      </c>
      <c r="L56" s="99" t="n">
        <v>5362.5</v>
      </c>
      <c r="N56" s="99" t="s">
        <v>96</v>
      </c>
      <c r="O56" s="99" t="s">
        <v>159</v>
      </c>
      <c r="P56" s="99" t="n">
        <v>195</v>
      </c>
      <c r="Q56" s="99" t="n">
        <v>30</v>
      </c>
      <c r="R56" s="99" t="n">
        <v>3802.5</v>
      </c>
    </row>
    <row r="57" customFormat="false" ht="23.25" hidden="false" customHeight="true" outlineLevel="0" collapsed="false">
      <c r="B57" s="99" t="s">
        <v>97</v>
      </c>
      <c r="C57" s="99" t="s">
        <v>157</v>
      </c>
      <c r="D57" s="99" t="n">
        <v>8</v>
      </c>
      <c r="E57" s="99" t="n">
        <v>57.2</v>
      </c>
      <c r="F57" s="99" t="n">
        <v>137.28</v>
      </c>
      <c r="H57" s="99" t="s">
        <v>97</v>
      </c>
      <c r="I57" s="99" t="s">
        <v>158</v>
      </c>
      <c r="J57" s="99" t="n">
        <v>84</v>
      </c>
      <c r="K57" s="99" t="n">
        <v>55</v>
      </c>
      <c r="L57" s="99" t="n">
        <v>1386</v>
      </c>
      <c r="N57" s="99" t="s">
        <v>97</v>
      </c>
      <c r="O57" s="99" t="s">
        <v>159</v>
      </c>
      <c r="P57" s="99" t="n">
        <v>184</v>
      </c>
      <c r="Q57" s="99" t="n">
        <v>30</v>
      </c>
      <c r="R57" s="99" t="n">
        <v>1656</v>
      </c>
    </row>
    <row r="58" customFormat="false" ht="16.5" hidden="false" customHeight="true" outlineLevel="0" collapsed="false">
      <c r="B58" s="134" t="s">
        <v>98</v>
      </c>
      <c r="C58" s="99" t="s">
        <v>157</v>
      </c>
      <c r="D58" s="99" t="n">
        <v>3</v>
      </c>
      <c r="E58" s="99" t="n">
        <v>57.2</v>
      </c>
      <c r="F58" s="99" t="n">
        <v>85.8</v>
      </c>
      <c r="H58" s="99" t="s">
        <v>98</v>
      </c>
      <c r="I58" s="99" t="s">
        <v>158</v>
      </c>
      <c r="J58" s="99" t="n">
        <v>0</v>
      </c>
      <c r="K58" s="99" t="n">
        <v>55</v>
      </c>
      <c r="L58" s="99" t="n">
        <v>0</v>
      </c>
      <c r="N58" s="99" t="s">
        <v>98</v>
      </c>
      <c r="O58" s="99" t="s">
        <v>163</v>
      </c>
      <c r="P58" s="99" t="n">
        <v>44</v>
      </c>
      <c r="Q58" s="99" t="n">
        <v>15</v>
      </c>
      <c r="R58" s="99" t="n">
        <v>330</v>
      </c>
    </row>
    <row r="59" customFormat="false" ht="16.5" hidden="false" customHeight="true" outlineLevel="0" collapsed="false">
      <c r="B59" s="135" t="s">
        <v>64</v>
      </c>
      <c r="F59" s="99" t="n">
        <f aca="false">SUM(F54:F58)</f>
        <v>537.68</v>
      </c>
      <c r="L59" s="99" t="n">
        <f aca="false">SUM(L54:L58)</f>
        <v>13208.25</v>
      </c>
      <c r="R59" s="99" t="n">
        <f aca="false">SUM(R54:R58)</f>
        <v>10608</v>
      </c>
    </row>
    <row r="60" customFormat="false" ht="16.5" hidden="false" customHeight="true" outlineLevel="0" collapsed="false">
      <c r="B60" s="136"/>
    </row>
  </sheetData>
  <mergeCells count="27">
    <mergeCell ref="B1:R1"/>
    <mergeCell ref="B3:D3"/>
    <mergeCell ref="E3:L3"/>
    <mergeCell ref="B4:D4"/>
    <mergeCell ref="E4:L4"/>
    <mergeCell ref="B5:D5"/>
    <mergeCell ref="E5:L5"/>
    <mergeCell ref="B6:D6"/>
    <mergeCell ref="E6:L6"/>
    <mergeCell ref="B8:R8"/>
    <mergeCell ref="B12:F12"/>
    <mergeCell ref="H12:L12"/>
    <mergeCell ref="B28:C28"/>
    <mergeCell ref="H28:I28"/>
    <mergeCell ref="N28:O28"/>
    <mergeCell ref="B30:F30"/>
    <mergeCell ref="H30:L30"/>
    <mergeCell ref="N30:R30"/>
    <mergeCell ref="B32:B34"/>
    <mergeCell ref="H32:H34"/>
    <mergeCell ref="N32:N34"/>
    <mergeCell ref="B45:C45"/>
    <mergeCell ref="H45:I45"/>
    <mergeCell ref="N45:O45"/>
    <mergeCell ref="B52:F52"/>
    <mergeCell ref="H52:L52"/>
    <mergeCell ref="N52:R52"/>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H27"/>
  <sheetViews>
    <sheetView showFormulas="false" showGridLines="true" showRowColHeaders="true" showZeros="true" rightToLeft="false" tabSelected="false" showOutlineSymbols="true" defaultGridColor="true" view="normal" topLeftCell="A1" colorId="64" zoomScale="60" zoomScaleNormal="60" zoomScalePageLayoutView="100" workbookViewId="0">
      <selection pane="topLeft" activeCell="P13" activeCellId="0" sqref="P13"/>
    </sheetView>
  </sheetViews>
  <sheetFormatPr defaultColWidth="11.43359375" defaultRowHeight="15" customHeight="false" zeroHeight="false" outlineLevelRow="0" outlineLevelCol="0"/>
  <cols>
    <col collapsed="false" customWidth="true" hidden="false" outlineLevel="0" max="1" min="1" style="1" width="1.42"/>
    <col collapsed="false" customWidth="true" hidden="false" outlineLevel="0" max="2" min="2" style="1" width="12.29"/>
    <col collapsed="false" customWidth="false" hidden="false" outlineLevel="0" max="5" min="3" style="1" width="11.43"/>
    <col collapsed="false" customWidth="true" hidden="false" outlineLevel="0" max="6" min="6" style="1" width="52.14"/>
    <col collapsed="false" customWidth="true" hidden="false" outlineLevel="0" max="7" min="7" style="1" width="22"/>
    <col collapsed="false" customWidth="true" hidden="false" outlineLevel="0" max="9" min="8" style="1" width="20"/>
    <col collapsed="false" customWidth="false" hidden="false" outlineLevel="0" max="10" min="10" style="1" width="11.43"/>
    <col collapsed="false" customWidth="true" hidden="false" outlineLevel="0" max="11" min="11" style="1" width="13.42"/>
    <col collapsed="false" customWidth="false" hidden="false" outlineLevel="0" max="13" min="12" style="1" width="11.43"/>
    <col collapsed="false" customWidth="true" hidden="false" outlineLevel="0" max="14" min="14" style="1" width="18.57"/>
    <col collapsed="false" customWidth="true" hidden="false" outlineLevel="0" max="15" min="15" style="1" width="52.29"/>
    <col collapsed="false" customWidth="true" hidden="false" outlineLevel="0" max="16" min="16" style="1" width="31.16"/>
    <col collapsed="false" customWidth="true" hidden="false" outlineLevel="0" max="17" min="17" style="1" width="18.29"/>
    <col collapsed="false" customWidth="true" hidden="false" outlineLevel="0" max="18" min="18" style="1" width="24.86"/>
    <col collapsed="false" customWidth="false" hidden="false" outlineLevel="0" max="16384" min="19" style="1" width="11.43"/>
  </cols>
  <sheetData>
    <row r="1" s="99" customFormat="true" ht="24.75" hidden="false" customHeight="true" outlineLevel="0" collapsed="false">
      <c r="A1" s="137" t="s">
        <v>164</v>
      </c>
      <c r="B1" s="137"/>
      <c r="C1" s="137"/>
      <c r="D1" s="137"/>
      <c r="E1" s="137"/>
      <c r="F1" s="137"/>
      <c r="G1" s="137"/>
      <c r="H1" s="137"/>
      <c r="I1" s="137"/>
      <c r="J1" s="137"/>
      <c r="K1" s="137"/>
      <c r="L1" s="137"/>
      <c r="M1" s="137"/>
      <c r="N1" s="137"/>
      <c r="O1" s="137"/>
      <c r="P1" s="137"/>
      <c r="Q1" s="137"/>
      <c r="R1" s="137"/>
    </row>
    <row r="2" s="98" customFormat="true" ht="16.5" hidden="false" customHeight="true" outlineLevel="0" collapsed="false"/>
    <row r="3" s="139" customFormat="true" ht="15.75" hidden="false" customHeight="true" outlineLevel="0" collapsed="false">
      <c r="A3" s="138"/>
      <c r="B3" s="61" t="s">
        <v>4</v>
      </c>
      <c r="C3" s="61"/>
      <c r="D3" s="61"/>
      <c r="E3" s="61"/>
      <c r="F3" s="61"/>
      <c r="G3" s="16" t="s">
        <v>5</v>
      </c>
      <c r="H3" s="16"/>
      <c r="I3" s="16"/>
      <c r="J3" s="16"/>
      <c r="K3" s="16"/>
      <c r="L3" s="16"/>
      <c r="M3" s="16"/>
      <c r="N3" s="16"/>
      <c r="O3" s="138"/>
      <c r="P3" s="138"/>
      <c r="Q3" s="138"/>
      <c r="R3" s="138"/>
      <c r="S3" s="138"/>
      <c r="T3" s="138"/>
      <c r="U3" s="138"/>
      <c r="V3" s="138"/>
      <c r="W3" s="138"/>
      <c r="X3" s="138"/>
      <c r="Y3" s="138"/>
      <c r="Z3" s="138"/>
      <c r="AA3" s="138"/>
      <c r="AB3" s="138"/>
      <c r="AC3" s="138"/>
      <c r="AD3" s="138"/>
      <c r="AE3" s="138"/>
      <c r="AF3" s="138"/>
      <c r="AG3" s="138"/>
      <c r="AH3" s="138"/>
      <c r="AI3" s="138"/>
      <c r="AJ3" s="138"/>
      <c r="AK3" s="138"/>
      <c r="AL3" s="138"/>
      <c r="AM3" s="138"/>
      <c r="AN3" s="138"/>
      <c r="AO3" s="138"/>
      <c r="AP3" s="138"/>
      <c r="AQ3" s="138"/>
      <c r="AR3" s="138"/>
      <c r="AS3" s="138"/>
      <c r="AT3" s="138"/>
      <c r="AU3" s="138"/>
      <c r="AV3" s="138"/>
      <c r="AW3" s="138"/>
      <c r="AX3" s="138"/>
      <c r="AY3" s="138"/>
      <c r="AZ3" s="138"/>
      <c r="BA3" s="138"/>
      <c r="BB3" s="138"/>
      <c r="BC3" s="138"/>
      <c r="BD3" s="138"/>
      <c r="BE3" s="138"/>
      <c r="BF3" s="138"/>
      <c r="BG3" s="138"/>
      <c r="BH3" s="138"/>
    </row>
    <row r="4" s="139" customFormat="true" ht="15.75" hidden="false" customHeight="true" outlineLevel="0" collapsed="false">
      <c r="A4" s="138"/>
      <c r="B4" s="61" t="s">
        <v>165</v>
      </c>
      <c r="C4" s="61"/>
      <c r="D4" s="61"/>
      <c r="E4" s="61"/>
      <c r="F4" s="61"/>
      <c r="G4" s="16" t="s">
        <v>7</v>
      </c>
      <c r="H4" s="16"/>
      <c r="I4" s="16"/>
      <c r="J4" s="16"/>
      <c r="K4" s="16"/>
      <c r="L4" s="16"/>
      <c r="M4" s="16"/>
      <c r="N4" s="16"/>
      <c r="O4" s="138"/>
      <c r="P4" s="138"/>
      <c r="Q4" s="138"/>
      <c r="R4" s="138"/>
      <c r="S4" s="138"/>
      <c r="T4" s="138"/>
      <c r="U4" s="138"/>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row>
    <row r="5" s="139" customFormat="true" ht="15.75" hidden="false" customHeight="true" outlineLevel="0" collapsed="false">
      <c r="A5" s="138"/>
      <c r="B5" s="61" t="s">
        <v>166</v>
      </c>
      <c r="C5" s="61"/>
      <c r="D5" s="61"/>
      <c r="E5" s="61"/>
      <c r="F5" s="61"/>
      <c r="G5" s="16" t="s">
        <v>9</v>
      </c>
      <c r="H5" s="16"/>
      <c r="I5" s="16"/>
      <c r="J5" s="16"/>
      <c r="K5" s="16"/>
      <c r="L5" s="16"/>
      <c r="M5" s="16"/>
      <c r="N5" s="16"/>
      <c r="O5" s="138"/>
      <c r="P5" s="138"/>
      <c r="Q5" s="138"/>
      <c r="R5" s="138"/>
      <c r="S5" s="138"/>
      <c r="T5" s="138"/>
      <c r="U5" s="138"/>
      <c r="V5" s="138"/>
      <c r="W5" s="138"/>
      <c r="X5" s="138"/>
      <c r="Y5" s="138"/>
      <c r="Z5" s="138"/>
      <c r="AA5" s="138"/>
      <c r="AB5" s="138"/>
      <c r="AC5" s="138"/>
      <c r="AD5" s="138"/>
      <c r="AE5" s="138"/>
      <c r="AF5" s="138"/>
      <c r="AG5" s="138"/>
      <c r="AH5" s="138"/>
      <c r="AI5" s="138"/>
      <c r="AJ5" s="138"/>
      <c r="AK5" s="138"/>
      <c r="AL5" s="138"/>
      <c r="AM5" s="138"/>
      <c r="AN5" s="138"/>
      <c r="AO5" s="138"/>
      <c r="AP5" s="138"/>
      <c r="AQ5" s="138"/>
      <c r="AR5" s="138"/>
      <c r="AS5" s="138"/>
      <c r="AT5" s="138"/>
      <c r="AU5" s="138"/>
      <c r="AV5" s="138"/>
      <c r="AW5" s="138"/>
      <c r="AX5" s="138"/>
      <c r="AY5" s="138"/>
      <c r="AZ5" s="138"/>
      <c r="BA5" s="138"/>
      <c r="BB5" s="138"/>
      <c r="BC5" s="138"/>
      <c r="BD5" s="138"/>
      <c r="BE5" s="138"/>
      <c r="BF5" s="138"/>
      <c r="BG5" s="138"/>
      <c r="BH5" s="138"/>
    </row>
    <row r="6" s="139" customFormat="true" ht="15.75" hidden="false" customHeight="true" outlineLevel="0" collapsed="false">
      <c r="A6" s="138"/>
      <c r="B6" s="61" t="s">
        <v>167</v>
      </c>
      <c r="C6" s="61"/>
      <c r="D6" s="61"/>
      <c r="E6" s="61"/>
      <c r="F6" s="61"/>
      <c r="G6" s="16" t="s">
        <v>11</v>
      </c>
      <c r="H6" s="16"/>
      <c r="I6" s="16"/>
      <c r="J6" s="16"/>
      <c r="K6" s="16"/>
      <c r="L6" s="16"/>
      <c r="M6" s="16"/>
      <c r="N6" s="16"/>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138"/>
      <c r="AZ6" s="138"/>
      <c r="BA6" s="138"/>
      <c r="BB6" s="138"/>
      <c r="BC6" s="138"/>
      <c r="BD6" s="138"/>
      <c r="BE6" s="138"/>
      <c r="BF6" s="138"/>
      <c r="BG6" s="138"/>
      <c r="BH6" s="138"/>
    </row>
    <row r="7" customFormat="false" ht="15" hidden="false" customHeight="true" outlineLevel="0" collapsed="false">
      <c r="A7" s="59"/>
      <c r="B7" s="59"/>
      <c r="C7" s="59"/>
      <c r="D7" s="59"/>
      <c r="E7" s="59"/>
      <c r="F7" s="59"/>
      <c r="G7" s="59"/>
      <c r="H7" s="59"/>
      <c r="I7" s="59"/>
      <c r="J7" s="59"/>
      <c r="K7" s="59"/>
      <c r="L7" s="59"/>
      <c r="M7" s="59"/>
      <c r="N7" s="59"/>
      <c r="O7" s="59"/>
      <c r="P7" s="59"/>
      <c r="Q7" s="59"/>
    </row>
    <row r="8" customFormat="false" ht="15" hidden="false" customHeight="true" outlineLevel="0" collapsed="false">
      <c r="A8" s="59"/>
      <c r="B8" s="65" t="s">
        <v>168</v>
      </c>
      <c r="C8" s="59"/>
      <c r="D8" s="59"/>
      <c r="E8" s="59"/>
      <c r="F8" s="59"/>
      <c r="G8" s="59"/>
      <c r="H8" s="59"/>
      <c r="I8" s="59"/>
      <c r="J8" s="59"/>
      <c r="K8" s="59"/>
      <c r="L8" s="59"/>
      <c r="M8" s="59"/>
      <c r="N8" s="59"/>
      <c r="O8" s="59"/>
      <c r="P8" s="59"/>
      <c r="Q8" s="59"/>
    </row>
    <row r="9" customFormat="false" ht="15" hidden="false" customHeight="true" outlineLevel="0" collapsed="false">
      <c r="A9" s="59"/>
      <c r="B9" s="65"/>
      <c r="C9" s="59"/>
      <c r="D9" s="59"/>
      <c r="E9" s="59"/>
      <c r="F9" s="59"/>
      <c r="G9" s="59"/>
      <c r="H9" s="59"/>
      <c r="I9" s="59"/>
      <c r="J9" s="59"/>
      <c r="K9" s="59"/>
      <c r="L9" s="59"/>
      <c r="M9" s="59"/>
      <c r="N9" s="59"/>
      <c r="O9" s="59"/>
      <c r="P9" s="59"/>
      <c r="Q9" s="59"/>
    </row>
    <row r="10" customFormat="false" ht="15.75" hidden="false" customHeight="true" outlineLevel="0" collapsed="false">
      <c r="A10" s="59"/>
      <c r="B10" s="140" t="s">
        <v>169</v>
      </c>
      <c r="C10" s="140"/>
      <c r="D10" s="140"/>
      <c r="E10" s="140"/>
      <c r="F10" s="140"/>
      <c r="G10" s="140"/>
      <c r="H10" s="140"/>
      <c r="I10" s="140"/>
      <c r="J10" s="140"/>
      <c r="K10" s="140"/>
      <c r="L10" s="140"/>
      <c r="M10" s="140"/>
      <c r="N10" s="140"/>
      <c r="O10" s="140"/>
      <c r="P10" s="140"/>
      <c r="Q10" s="140"/>
      <c r="R10" s="140"/>
    </row>
    <row r="11" customFormat="false" ht="15" hidden="false" customHeight="true" outlineLevel="0" collapsed="false">
      <c r="A11" s="59"/>
      <c r="B11" s="59"/>
      <c r="C11" s="59"/>
      <c r="D11" s="59"/>
      <c r="E11" s="59"/>
      <c r="F11" s="59"/>
      <c r="G11" s="59"/>
      <c r="H11" s="59"/>
      <c r="I11" s="59"/>
      <c r="J11" s="59"/>
      <c r="K11" s="59"/>
      <c r="L11" s="59"/>
      <c r="M11" s="59"/>
      <c r="N11" s="59"/>
      <c r="O11" s="59"/>
      <c r="P11" s="59"/>
      <c r="Q11" s="59"/>
      <c r="R11" s="59"/>
    </row>
    <row r="12" customFormat="false" ht="15" hidden="false" customHeight="true" outlineLevel="0" collapsed="false">
      <c r="A12" s="59"/>
      <c r="B12" s="141" t="s">
        <v>170</v>
      </c>
      <c r="C12" s="141"/>
      <c r="D12" s="141"/>
      <c r="E12" s="141"/>
      <c r="F12" s="141"/>
      <c r="G12" s="141"/>
      <c r="H12" s="141"/>
      <c r="I12" s="141"/>
      <c r="J12" s="59"/>
      <c r="K12" s="141" t="s">
        <v>171</v>
      </c>
      <c r="L12" s="141"/>
      <c r="M12" s="141"/>
      <c r="N12" s="141"/>
      <c r="O12" s="141"/>
      <c r="P12" s="141"/>
      <c r="Q12" s="141"/>
      <c r="R12" s="141"/>
    </row>
    <row r="13" customFormat="false" ht="45" hidden="false" customHeight="true" outlineLevel="0" collapsed="false">
      <c r="A13" s="59"/>
      <c r="B13" s="142" t="s">
        <v>172</v>
      </c>
      <c r="C13" s="142" t="s">
        <v>15</v>
      </c>
      <c r="D13" s="142" t="s">
        <v>173</v>
      </c>
      <c r="E13" s="142" t="s">
        <v>174</v>
      </c>
      <c r="F13" s="142" t="s">
        <v>175</v>
      </c>
      <c r="G13" s="142" t="s">
        <v>176</v>
      </c>
      <c r="H13" s="142" t="s">
        <v>177</v>
      </c>
      <c r="I13" s="142" t="s">
        <v>178</v>
      </c>
      <c r="J13" s="59"/>
      <c r="K13" s="143" t="s">
        <v>179</v>
      </c>
      <c r="L13" s="143" t="s">
        <v>15</v>
      </c>
      <c r="M13" s="143" t="s">
        <v>173</v>
      </c>
      <c r="N13" s="143" t="s">
        <v>174</v>
      </c>
      <c r="O13" s="143" t="s">
        <v>180</v>
      </c>
      <c r="P13" s="143" t="s">
        <v>176</v>
      </c>
      <c r="Q13" s="143" t="s">
        <v>177</v>
      </c>
      <c r="R13" s="143" t="s">
        <v>178</v>
      </c>
    </row>
    <row r="14" customFormat="false" ht="23.25" hidden="false" customHeight="true" outlineLevel="0" collapsed="false">
      <c r="A14" s="59"/>
      <c r="B14" s="144"/>
      <c r="C14" s="144"/>
      <c r="D14" s="144"/>
      <c r="E14" s="144"/>
      <c r="F14" s="145"/>
      <c r="G14" s="145"/>
      <c r="H14" s="22"/>
      <c r="I14" s="22"/>
      <c r="J14" s="59"/>
      <c r="K14" s="146" t="s">
        <v>181</v>
      </c>
      <c r="L14" s="146" t="s">
        <v>182</v>
      </c>
      <c r="M14" s="147" t="s">
        <v>183</v>
      </c>
      <c r="N14" s="147" t="s">
        <v>184</v>
      </c>
      <c r="O14" s="148" t="s">
        <v>185</v>
      </c>
      <c r="P14" s="148" t="s">
        <v>186</v>
      </c>
      <c r="Q14" s="22" t="n">
        <v>2970</v>
      </c>
      <c r="R14" s="22" t="n">
        <v>2970</v>
      </c>
    </row>
    <row r="15" customFormat="false" ht="23.25" hidden="false" customHeight="true" outlineLevel="0" collapsed="false">
      <c r="A15" s="59"/>
      <c r="B15" s="144" t="s">
        <v>187</v>
      </c>
      <c r="C15" s="144"/>
      <c r="D15" s="144"/>
      <c r="E15" s="144"/>
      <c r="F15" s="145"/>
      <c r="G15" s="145"/>
      <c r="H15" s="22"/>
      <c r="I15" s="22"/>
      <c r="J15" s="59"/>
      <c r="K15" s="149" t="s">
        <v>188</v>
      </c>
      <c r="L15" s="149" t="s">
        <v>182</v>
      </c>
      <c r="M15" s="144" t="s">
        <v>189</v>
      </c>
      <c r="N15" s="144" t="s">
        <v>190</v>
      </c>
      <c r="O15" s="145" t="s">
        <v>191</v>
      </c>
      <c r="P15" s="145" t="s">
        <v>192</v>
      </c>
      <c r="Q15" s="22" t="n">
        <v>4800</v>
      </c>
      <c r="R15" s="22" t="n">
        <v>4800</v>
      </c>
    </row>
    <row r="16" customFormat="false" ht="15" hidden="false" customHeight="true" outlineLevel="0" collapsed="false">
      <c r="A16" s="59"/>
      <c r="B16" s="150"/>
      <c r="C16" s="150"/>
      <c r="D16" s="150"/>
      <c r="E16" s="150"/>
      <c r="F16" s="151"/>
      <c r="G16" s="142" t="s">
        <v>193</v>
      </c>
      <c r="H16" s="152" t="n">
        <f aca="false">SUM(H14:H15)</f>
        <v>0</v>
      </c>
      <c r="I16" s="152" t="n">
        <f aca="false">SUM(I14:I15)</f>
        <v>0</v>
      </c>
      <c r="J16" s="59"/>
      <c r="K16" s="150"/>
      <c r="L16" s="150"/>
      <c r="M16" s="150"/>
      <c r="N16" s="150"/>
      <c r="O16" s="151"/>
      <c r="P16" s="142" t="s">
        <v>193</v>
      </c>
      <c r="Q16" s="152" t="n">
        <f aca="false">SUM(Q14:Q15)</f>
        <v>7770</v>
      </c>
      <c r="R16" s="152" t="n">
        <f aca="false">SUM(R14:R15)</f>
        <v>7770</v>
      </c>
    </row>
    <row r="17" customFormat="false" ht="15" hidden="false" customHeight="true" outlineLevel="0" collapsed="false">
      <c r="A17" s="59"/>
      <c r="C17" s="59"/>
      <c r="D17" s="59"/>
      <c r="E17" s="59"/>
      <c r="F17" s="59"/>
      <c r="J17" s="59"/>
      <c r="R17" s="59"/>
    </row>
    <row r="18" s="99" customFormat="true" ht="16.5" hidden="false" customHeight="true" outlineLevel="0" collapsed="false">
      <c r="A18" s="98"/>
      <c r="B18" s="140" t="s">
        <v>194</v>
      </c>
      <c r="C18" s="140"/>
      <c r="D18" s="140"/>
      <c r="E18" s="140"/>
      <c r="F18" s="140"/>
      <c r="G18" s="140"/>
      <c r="H18" s="140"/>
      <c r="I18" s="140"/>
      <c r="J18" s="140"/>
      <c r="K18" s="140"/>
      <c r="L18" s="140"/>
      <c r="M18" s="140"/>
      <c r="N18" s="140"/>
      <c r="O18" s="140"/>
      <c r="P18" s="140"/>
      <c r="Q18" s="140"/>
      <c r="R18" s="140"/>
    </row>
    <row r="19" s="99" customFormat="true" ht="16.5" hidden="false" customHeight="true" outlineLevel="0" collapsed="false">
      <c r="A19" s="98"/>
      <c r="M19" s="100"/>
    </row>
    <row r="20" customFormat="false" ht="15" hidden="false" customHeight="true" outlineLevel="0" collapsed="false">
      <c r="A20" s="59"/>
      <c r="B20" s="141" t="s">
        <v>170</v>
      </c>
      <c r="C20" s="141"/>
      <c r="D20" s="141"/>
      <c r="E20" s="141"/>
      <c r="F20" s="141"/>
      <c r="G20" s="141"/>
      <c r="H20" s="141"/>
      <c r="I20" s="141"/>
      <c r="J20" s="59"/>
      <c r="K20" s="141" t="s">
        <v>171</v>
      </c>
      <c r="L20" s="141"/>
      <c r="M20" s="141"/>
      <c r="N20" s="141"/>
      <c r="O20" s="141"/>
      <c r="P20" s="141"/>
      <c r="Q20" s="141"/>
      <c r="R20" s="141"/>
    </row>
    <row r="21" customFormat="false" ht="45" hidden="false" customHeight="true" outlineLevel="0" collapsed="false">
      <c r="A21" s="59"/>
      <c r="B21" s="142" t="s">
        <v>172</v>
      </c>
      <c r="C21" s="142" t="s">
        <v>15</v>
      </c>
      <c r="D21" s="142" t="s">
        <v>173</v>
      </c>
      <c r="E21" s="142" t="s">
        <v>174</v>
      </c>
      <c r="F21" s="142" t="s">
        <v>175</v>
      </c>
      <c r="G21" s="142" t="s">
        <v>176</v>
      </c>
      <c r="H21" s="142" t="s">
        <v>177</v>
      </c>
      <c r="I21" s="142" t="s">
        <v>178</v>
      </c>
      <c r="J21" s="59"/>
      <c r="K21" s="143" t="s">
        <v>179</v>
      </c>
      <c r="L21" s="143" t="s">
        <v>15</v>
      </c>
      <c r="M21" s="143" t="s">
        <v>173</v>
      </c>
      <c r="N21" s="143" t="s">
        <v>174</v>
      </c>
      <c r="O21" s="143" t="s">
        <v>180</v>
      </c>
      <c r="P21" s="143" t="s">
        <v>176</v>
      </c>
      <c r="Q21" s="143" t="s">
        <v>177</v>
      </c>
      <c r="R21" s="143" t="s">
        <v>178</v>
      </c>
    </row>
    <row r="22" customFormat="false" ht="23.25" hidden="false" customHeight="true" outlineLevel="0" collapsed="false">
      <c r="A22" s="59"/>
      <c r="B22" s="144"/>
      <c r="C22" s="144"/>
      <c r="D22" s="144"/>
      <c r="E22" s="144"/>
      <c r="F22" s="145"/>
      <c r="G22" s="145"/>
      <c r="H22" s="22"/>
      <c r="I22" s="22"/>
      <c r="J22" s="59"/>
      <c r="K22" s="146" t="s">
        <v>181</v>
      </c>
      <c r="L22" s="146" t="s">
        <v>182</v>
      </c>
      <c r="M22" s="147" t="s">
        <v>183</v>
      </c>
      <c r="N22" s="147" t="s">
        <v>184</v>
      </c>
      <c r="O22" s="148" t="s">
        <v>185</v>
      </c>
      <c r="P22" s="148" t="s">
        <v>186</v>
      </c>
      <c r="Q22" s="22" t="n">
        <v>6930</v>
      </c>
      <c r="R22" s="22" t="n">
        <v>6930</v>
      </c>
    </row>
    <row r="23" customFormat="false" ht="34.5" hidden="false" customHeight="true" outlineLevel="0" collapsed="false">
      <c r="A23" s="59"/>
      <c r="B23" s="144" t="s">
        <v>187</v>
      </c>
      <c r="C23" s="144"/>
      <c r="D23" s="144"/>
      <c r="E23" s="144"/>
      <c r="F23" s="145"/>
      <c r="G23" s="145"/>
      <c r="H23" s="22"/>
      <c r="I23" s="22"/>
      <c r="J23" s="59"/>
      <c r="K23" s="149" t="s">
        <v>195</v>
      </c>
      <c r="L23" s="149" t="s">
        <v>182</v>
      </c>
      <c r="M23" s="144" t="s">
        <v>183</v>
      </c>
      <c r="N23" s="144" t="s">
        <v>184</v>
      </c>
      <c r="O23" s="145" t="s">
        <v>196</v>
      </c>
      <c r="P23" s="145" t="s">
        <v>192</v>
      </c>
      <c r="Q23" s="22" t="n">
        <v>14000</v>
      </c>
      <c r="R23" s="22" t="n">
        <v>14000</v>
      </c>
    </row>
    <row r="24" customFormat="false" ht="15" hidden="false" customHeight="true" outlineLevel="0" collapsed="false">
      <c r="A24" s="59"/>
      <c r="B24" s="150"/>
      <c r="C24" s="150"/>
      <c r="D24" s="150"/>
      <c r="E24" s="150"/>
      <c r="F24" s="151"/>
      <c r="G24" s="142" t="s">
        <v>193</v>
      </c>
      <c r="H24" s="152" t="n">
        <f aca="false">SUM(H22:H23)</f>
        <v>0</v>
      </c>
      <c r="I24" s="152" t="n">
        <f aca="false">SUM(I22:I23)</f>
        <v>0</v>
      </c>
      <c r="J24" s="59"/>
      <c r="K24" s="150"/>
      <c r="L24" s="150"/>
      <c r="M24" s="150"/>
      <c r="N24" s="150"/>
      <c r="O24" s="151"/>
      <c r="P24" s="142" t="s">
        <v>193</v>
      </c>
      <c r="Q24" s="152" t="n">
        <f aca="false">SUM(Q22:Q23)</f>
        <v>20930</v>
      </c>
      <c r="R24" s="152" t="n">
        <f aca="false">SUM(R22:R23)</f>
        <v>20930</v>
      </c>
    </row>
    <row r="25" customFormat="false" ht="15" hidden="false" customHeight="true" outlineLevel="0" collapsed="false">
      <c r="A25" s="59"/>
      <c r="C25" s="59"/>
      <c r="D25" s="59"/>
      <c r="E25" s="59"/>
      <c r="F25" s="59"/>
      <c r="J25" s="59"/>
      <c r="R25" s="59"/>
    </row>
    <row r="26" s="99" customFormat="true" ht="16.5" hidden="false" customHeight="true" outlineLevel="0" collapsed="false">
      <c r="A26" s="98"/>
      <c r="B26" s="153"/>
    </row>
    <row r="27" customFormat="false" ht="15" hidden="false" customHeight="true" outlineLevel="0" collapsed="false">
      <c r="B27" s="154" t="s">
        <v>197</v>
      </c>
      <c r="C27" s="59"/>
      <c r="D27" s="59"/>
      <c r="E27" s="59"/>
      <c r="F27" s="59"/>
    </row>
  </sheetData>
  <mergeCells count="15">
    <mergeCell ref="A1:R1"/>
    <mergeCell ref="B3:F3"/>
    <mergeCell ref="G3:N3"/>
    <mergeCell ref="B4:F4"/>
    <mergeCell ref="G4:N4"/>
    <mergeCell ref="B5:F5"/>
    <mergeCell ref="G5:N5"/>
    <mergeCell ref="B6:F6"/>
    <mergeCell ref="G6:N6"/>
    <mergeCell ref="B10:R10"/>
    <mergeCell ref="B12:I12"/>
    <mergeCell ref="K12:R12"/>
    <mergeCell ref="B18:R18"/>
    <mergeCell ref="B20:I20"/>
    <mergeCell ref="K20:R20"/>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colBreaks count="1" manualBreakCount="1">
    <brk id="18" man="true" max="65535" min="0"/>
  </col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R7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6796875" defaultRowHeight="16.5" customHeight="true" zeroHeight="false" outlineLevelRow="0" outlineLevelCol="0"/>
  <cols>
    <col collapsed="false" customWidth="true" hidden="false" outlineLevel="0" max="1" min="1" style="59" width="3.15"/>
    <col collapsed="false" customWidth="true" hidden="false" outlineLevel="0" max="2" min="2" style="1" width="22.71"/>
    <col collapsed="false" customWidth="true" hidden="false" outlineLevel="0" max="3" min="3" style="1" width="16.14"/>
    <col collapsed="false" customWidth="true" hidden="false" outlineLevel="0" max="5" min="4" style="1" width="15"/>
    <col collapsed="false" customWidth="true" hidden="false" outlineLevel="0" max="6" min="6" style="1" width="19.29"/>
    <col collapsed="false" customWidth="true" hidden="false" outlineLevel="0" max="7" min="7" style="1" width="15.57"/>
    <col collapsed="false" customWidth="true" hidden="false" outlineLevel="0" max="8" min="8" style="1" width="20.42"/>
    <col collapsed="false" customWidth="true" hidden="false" outlineLevel="0" max="11" min="9" style="1" width="15.57"/>
    <col collapsed="false" customWidth="true" hidden="false" outlineLevel="0" max="17" min="12" style="1" width="19.42"/>
    <col collapsed="false" customWidth="true" hidden="false" outlineLevel="0" max="18" min="18" style="1" width="15.57"/>
    <col collapsed="false" customWidth="true" hidden="false" outlineLevel="0" max="19" min="19" style="1" width="3.15"/>
    <col collapsed="false" customWidth="true" hidden="false" outlineLevel="0" max="20" min="20" style="1" width="22.57"/>
    <col collapsed="false" customWidth="true" hidden="false" outlineLevel="0" max="22" min="21" style="1" width="15"/>
    <col collapsed="false" customWidth="true" hidden="false" outlineLevel="0" max="23" min="23" style="1" width="21"/>
    <col collapsed="false" customWidth="true" hidden="false" outlineLevel="0" max="24" min="24" style="60" width="15"/>
    <col collapsed="false" customWidth="true" hidden="false" outlineLevel="0" max="25" min="25" style="1" width="30.43"/>
    <col collapsed="false" customWidth="true" hidden="false" outlineLevel="0" max="27" min="26" style="1" width="15"/>
    <col collapsed="false" customWidth="true" hidden="false" outlineLevel="0" max="28" min="28" style="1" width="22.71"/>
    <col collapsed="false" customWidth="true" hidden="false" outlineLevel="0" max="29" min="29" style="1" width="5.57"/>
  </cols>
  <sheetData>
    <row r="1" customFormat="false" ht="22.5" hidden="false" customHeight="true" outlineLevel="0" collapsed="false">
      <c r="B1" s="13" t="s">
        <v>67</v>
      </c>
      <c r="C1" s="13"/>
      <c r="D1" s="13"/>
      <c r="E1" s="13"/>
      <c r="F1" s="13"/>
      <c r="G1" s="13"/>
      <c r="H1" s="13"/>
      <c r="I1" s="13"/>
      <c r="J1" s="13"/>
      <c r="K1" s="13"/>
      <c r="L1" s="13"/>
      <c r="M1" s="13"/>
      <c r="N1" s="13"/>
      <c r="O1" s="13"/>
      <c r="P1" s="13"/>
      <c r="Q1" s="13"/>
      <c r="R1" s="13"/>
      <c r="S1" s="13"/>
      <c r="T1" s="13"/>
      <c r="U1" s="13"/>
      <c r="V1" s="13"/>
      <c r="W1" s="13"/>
      <c r="X1" s="13"/>
      <c r="Y1" s="13"/>
      <c r="Z1" s="13"/>
      <c r="AA1" s="13"/>
      <c r="AB1" s="13"/>
      <c r="AC1" s="59"/>
    </row>
    <row r="2" s="14" customFormat="true" ht="19.5" hidden="false" customHeight="true" outlineLevel="0" collapsed="false">
      <c r="A2" s="26"/>
      <c r="B2" s="26"/>
      <c r="C2" s="26"/>
      <c r="D2" s="26"/>
      <c r="E2" s="26"/>
      <c r="F2" s="26"/>
      <c r="G2" s="26"/>
      <c r="H2" s="26"/>
      <c r="I2" s="26"/>
      <c r="J2" s="26"/>
      <c r="K2" s="26"/>
      <c r="L2" s="26"/>
      <c r="M2" s="26"/>
      <c r="N2" s="26"/>
      <c r="O2" s="26"/>
      <c r="P2" s="26"/>
      <c r="Q2" s="26"/>
      <c r="R2" s="26"/>
      <c r="S2" s="26"/>
      <c r="T2" s="26"/>
      <c r="U2" s="26"/>
      <c r="V2" s="26"/>
      <c r="W2" s="26"/>
      <c r="X2" s="26"/>
      <c r="Y2" s="26"/>
      <c r="Z2" s="26"/>
      <c r="AA2" s="26"/>
      <c r="AB2" s="26"/>
      <c r="AC2" s="26"/>
      <c r="AD2" s="26"/>
      <c r="AE2" s="26"/>
      <c r="AF2" s="26"/>
      <c r="AG2" s="26"/>
      <c r="AH2" s="26"/>
      <c r="AI2" s="26"/>
      <c r="AJ2" s="26"/>
      <c r="AK2" s="26"/>
      <c r="AL2" s="26"/>
      <c r="AM2" s="26"/>
      <c r="AN2" s="26"/>
      <c r="AO2" s="26"/>
      <c r="AP2" s="26"/>
      <c r="AQ2" s="26"/>
      <c r="AR2" s="26"/>
      <c r="AS2" s="26"/>
      <c r="AT2" s="26"/>
      <c r="AU2" s="26"/>
      <c r="AV2" s="26"/>
      <c r="AW2" s="26"/>
      <c r="AX2" s="26"/>
      <c r="AY2" s="26"/>
      <c r="AZ2" s="26"/>
      <c r="BA2" s="26"/>
      <c r="BB2" s="26"/>
      <c r="BC2" s="26"/>
      <c r="BD2" s="26"/>
      <c r="BE2" s="26"/>
      <c r="BF2" s="26"/>
      <c r="BG2" s="26"/>
      <c r="BH2" s="26"/>
      <c r="BI2" s="26"/>
      <c r="BJ2" s="26"/>
      <c r="BK2" s="26"/>
      <c r="BL2" s="26"/>
      <c r="BM2" s="26"/>
      <c r="BN2" s="26"/>
      <c r="BO2" s="26"/>
      <c r="BP2" s="26"/>
      <c r="BQ2" s="26"/>
    </row>
    <row r="3" s="24" customFormat="true" ht="15.75" hidden="false" customHeight="true" outlineLevel="0" collapsed="false">
      <c r="B3" s="61" t="s">
        <v>4</v>
      </c>
      <c r="C3" s="61"/>
      <c r="D3" s="16" t="s">
        <v>5</v>
      </c>
      <c r="E3" s="16"/>
      <c r="F3" s="16"/>
      <c r="G3" s="16"/>
      <c r="H3" s="16"/>
      <c r="I3" s="16"/>
      <c r="J3" s="16"/>
      <c r="K3" s="16"/>
      <c r="L3" s="16"/>
      <c r="M3" s="16"/>
      <c r="N3" s="16"/>
      <c r="O3" s="16"/>
      <c r="P3" s="16"/>
      <c r="Q3" s="16"/>
      <c r="R3" s="16"/>
      <c r="S3" s="14"/>
      <c r="T3" s="14"/>
      <c r="U3" s="14"/>
      <c r="V3" s="14"/>
      <c r="W3" s="14"/>
      <c r="X3" s="14"/>
      <c r="Y3" s="14"/>
      <c r="Z3" s="14"/>
      <c r="AA3" s="14"/>
      <c r="AB3" s="14"/>
      <c r="AC3" s="14"/>
      <c r="AD3" s="14"/>
      <c r="AE3" s="14"/>
      <c r="AF3" s="14"/>
      <c r="AG3" s="14"/>
      <c r="AH3" s="14"/>
      <c r="AI3" s="14"/>
      <c r="AJ3" s="14"/>
      <c r="AK3" s="14"/>
      <c r="AL3" s="14"/>
      <c r="AM3" s="14"/>
      <c r="AN3" s="14"/>
      <c r="AO3" s="14"/>
      <c r="AP3" s="14"/>
      <c r="AQ3" s="14"/>
      <c r="AR3" s="14"/>
      <c r="AS3" s="14"/>
      <c r="AT3" s="14"/>
      <c r="AU3" s="14"/>
      <c r="AV3" s="14"/>
      <c r="AW3" s="14"/>
      <c r="AX3" s="14"/>
      <c r="AY3" s="14"/>
      <c r="AZ3" s="14"/>
      <c r="BA3" s="14"/>
      <c r="BB3" s="14"/>
      <c r="BC3" s="14"/>
      <c r="BD3" s="14"/>
      <c r="BE3" s="14"/>
      <c r="BF3" s="14"/>
      <c r="BG3" s="14"/>
      <c r="BH3" s="14"/>
      <c r="BI3" s="14"/>
      <c r="BJ3" s="14"/>
      <c r="BK3" s="14"/>
      <c r="BL3" s="14"/>
      <c r="BM3" s="14"/>
      <c r="BN3" s="14"/>
      <c r="BO3" s="14"/>
      <c r="BP3" s="14"/>
      <c r="BQ3" s="14"/>
      <c r="BR3" s="14"/>
    </row>
    <row r="4" s="24" customFormat="true" ht="51.75" hidden="false" customHeight="true" outlineLevel="0" collapsed="false">
      <c r="B4" s="61" t="s">
        <v>68</v>
      </c>
      <c r="C4" s="61"/>
      <c r="D4" s="16" t="s">
        <v>7</v>
      </c>
      <c r="E4" s="16"/>
      <c r="F4" s="16"/>
      <c r="G4" s="16"/>
      <c r="H4" s="16"/>
      <c r="I4" s="16"/>
      <c r="J4" s="16"/>
      <c r="K4" s="16"/>
      <c r="L4" s="16"/>
      <c r="M4" s="16"/>
      <c r="N4" s="16"/>
      <c r="O4" s="16"/>
      <c r="P4" s="16"/>
      <c r="Q4" s="16"/>
      <c r="R4" s="16"/>
      <c r="S4" s="14"/>
      <c r="T4" s="14"/>
      <c r="U4" s="14"/>
      <c r="V4" s="14"/>
      <c r="W4" s="14"/>
      <c r="X4" s="14"/>
      <c r="Y4" s="14"/>
      <c r="Z4" s="14"/>
      <c r="AA4" s="14"/>
      <c r="AB4" s="14"/>
      <c r="AC4" s="14"/>
      <c r="AD4" s="14"/>
      <c r="AE4" s="14"/>
      <c r="AF4" s="14"/>
      <c r="AG4" s="14"/>
      <c r="AH4" s="14"/>
      <c r="AI4" s="14"/>
      <c r="AJ4" s="14"/>
      <c r="AK4" s="14"/>
      <c r="AL4" s="14"/>
      <c r="AM4" s="14"/>
      <c r="AN4" s="14"/>
      <c r="AO4" s="14"/>
      <c r="AP4" s="14"/>
      <c r="AQ4" s="14"/>
      <c r="AR4" s="14"/>
      <c r="AS4" s="14"/>
      <c r="AT4" s="14"/>
      <c r="AU4" s="14"/>
      <c r="AV4" s="14"/>
      <c r="AW4" s="14"/>
      <c r="AX4" s="14"/>
      <c r="AY4" s="14"/>
      <c r="AZ4" s="14"/>
      <c r="BA4" s="14"/>
      <c r="BB4" s="14"/>
      <c r="BC4" s="14"/>
      <c r="BD4" s="14"/>
      <c r="BE4" s="14"/>
      <c r="BF4" s="14"/>
      <c r="BG4" s="14"/>
      <c r="BH4" s="14"/>
      <c r="BI4" s="14"/>
      <c r="BJ4" s="14"/>
      <c r="BK4" s="14"/>
      <c r="BL4" s="14"/>
      <c r="BM4" s="14"/>
      <c r="BN4" s="14"/>
      <c r="BO4" s="14"/>
      <c r="BP4" s="14"/>
      <c r="BQ4" s="14"/>
      <c r="BR4" s="14"/>
    </row>
    <row r="5" s="24" customFormat="true" ht="59.25" hidden="false" customHeight="true" outlineLevel="0" collapsed="false">
      <c r="B5" s="61" t="s">
        <v>69</v>
      </c>
      <c r="C5" s="61"/>
      <c r="D5" s="16" t="s">
        <v>9</v>
      </c>
      <c r="E5" s="16"/>
      <c r="F5" s="16"/>
      <c r="G5" s="16"/>
      <c r="H5" s="16"/>
      <c r="I5" s="16"/>
      <c r="J5" s="16"/>
      <c r="K5" s="16"/>
      <c r="L5" s="16"/>
      <c r="M5" s="16"/>
      <c r="N5" s="16"/>
      <c r="O5" s="16"/>
      <c r="P5" s="16"/>
      <c r="Q5" s="16"/>
      <c r="R5" s="16"/>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row>
    <row r="6" s="24" customFormat="true" ht="35.25" hidden="false" customHeight="true" outlineLevel="0" collapsed="false">
      <c r="B6" s="61" t="s">
        <v>70</v>
      </c>
      <c r="C6" s="61"/>
      <c r="D6" s="16" t="s">
        <v>11</v>
      </c>
      <c r="E6" s="16"/>
      <c r="F6" s="16"/>
      <c r="G6" s="16"/>
      <c r="H6" s="16"/>
      <c r="I6" s="16"/>
      <c r="J6" s="16"/>
      <c r="K6" s="16"/>
      <c r="L6" s="16"/>
      <c r="M6" s="16"/>
      <c r="N6" s="16"/>
      <c r="O6" s="16"/>
      <c r="P6" s="16"/>
      <c r="Q6" s="16"/>
      <c r="R6" s="16"/>
      <c r="S6" s="14"/>
      <c r="T6" s="14"/>
      <c r="U6" s="14"/>
      <c r="V6" s="14"/>
      <c r="W6" s="14"/>
      <c r="X6" s="14"/>
      <c r="Y6" s="14"/>
      <c r="Z6" s="14"/>
      <c r="AA6" s="14"/>
      <c r="AB6" s="14"/>
      <c r="AC6" s="14"/>
      <c r="AD6" s="14"/>
      <c r="AE6" s="14"/>
      <c r="AF6" s="14"/>
      <c r="AG6" s="14"/>
      <c r="AH6" s="14"/>
      <c r="AI6" s="14"/>
      <c r="AJ6" s="14"/>
      <c r="AK6" s="14"/>
      <c r="AL6" s="14"/>
      <c r="AM6" s="14"/>
      <c r="AN6" s="14"/>
      <c r="AO6" s="14"/>
      <c r="AP6" s="14"/>
      <c r="AQ6" s="14"/>
      <c r="AR6" s="14"/>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row>
    <row r="7" s="24" customFormat="true" ht="12.75" hidden="false" customHeight="true" outlineLevel="0" collapsed="false">
      <c r="A7" s="14"/>
      <c r="B7" s="14"/>
      <c r="C7" s="14"/>
      <c r="D7" s="14"/>
      <c r="E7" s="14"/>
      <c r="F7" s="14"/>
      <c r="G7" s="14"/>
      <c r="H7" s="14"/>
      <c r="I7" s="14"/>
      <c r="J7" s="14"/>
      <c r="K7" s="14"/>
      <c r="L7" s="14"/>
      <c r="M7" s="14"/>
      <c r="N7" s="14"/>
      <c r="O7" s="14"/>
      <c r="P7" s="14"/>
      <c r="Q7" s="14"/>
      <c r="R7" s="14"/>
      <c r="S7" s="14"/>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row>
    <row r="8" customFormat="false" ht="16.5" hidden="false" customHeight="true" outlineLevel="0" collapsed="false">
      <c r="B8" s="62" t="s">
        <v>198</v>
      </c>
      <c r="C8" s="62"/>
      <c r="D8" s="62"/>
      <c r="E8" s="62"/>
      <c r="F8" s="62"/>
      <c r="G8" s="62"/>
      <c r="H8" s="62"/>
      <c r="I8" s="62"/>
      <c r="J8" s="62"/>
      <c r="K8" s="62"/>
      <c r="L8" s="62"/>
      <c r="M8" s="62"/>
      <c r="N8" s="62"/>
      <c r="O8" s="62"/>
      <c r="P8" s="62"/>
      <c r="Q8" s="62"/>
      <c r="R8" s="62"/>
      <c r="S8" s="62"/>
      <c r="T8" s="62"/>
      <c r="U8" s="62"/>
      <c r="V8" s="62"/>
      <c r="W8" s="62"/>
      <c r="X8" s="62"/>
      <c r="Y8" s="62"/>
      <c r="Z8" s="62"/>
      <c r="AA8" s="62"/>
      <c r="AB8" s="62"/>
      <c r="AC8" s="59"/>
    </row>
    <row r="9" s="59" customFormat="true" ht="15" hidden="false" customHeight="true" outlineLevel="0" collapsed="false">
      <c r="B9" s="63"/>
      <c r="T9" s="63"/>
      <c r="X9" s="64"/>
      <c r="Y9" s="63"/>
    </row>
    <row r="10" s="59" customFormat="true" ht="15" hidden="false" customHeight="true" outlineLevel="0" collapsed="false">
      <c r="B10" s="65" t="s">
        <v>72</v>
      </c>
      <c r="C10" s="65"/>
      <c r="D10" s="65"/>
      <c r="E10" s="65"/>
      <c r="F10" s="65"/>
      <c r="G10" s="65"/>
      <c r="H10" s="65"/>
      <c r="T10" s="63"/>
      <c r="X10" s="64"/>
      <c r="Y10" s="63"/>
    </row>
    <row r="11" s="59" customFormat="true" ht="15" hidden="false" customHeight="true" outlineLevel="0" collapsed="false">
      <c r="B11" s="63"/>
      <c r="T11" s="63"/>
      <c r="X11" s="64"/>
      <c r="Y11" s="63"/>
    </row>
    <row r="12" s="59" customFormat="true" ht="15" hidden="false" customHeight="true" outlineLevel="0" collapsed="false">
      <c r="B12" s="66" t="s">
        <v>73</v>
      </c>
      <c r="T12" s="63"/>
      <c r="X12" s="64"/>
      <c r="Y12" s="63"/>
    </row>
    <row r="13" s="59" customFormat="true" ht="9.75" hidden="false" customHeight="true" outlineLevel="0" collapsed="false">
      <c r="B13" s="63"/>
      <c r="T13" s="63"/>
      <c r="X13" s="64"/>
      <c r="Y13" s="63"/>
    </row>
    <row r="14" s="59" customFormat="true" ht="16.5" hidden="false" customHeight="true" outlineLevel="0" collapsed="false">
      <c r="B14" s="63" t="s">
        <v>74</v>
      </c>
      <c r="H14" s="63" t="s">
        <v>75</v>
      </c>
      <c r="N14" s="63" t="s">
        <v>76</v>
      </c>
      <c r="T14" s="63" t="s">
        <v>77</v>
      </c>
      <c r="X14" s="64"/>
      <c r="Y14" s="63" t="s">
        <v>78</v>
      </c>
    </row>
    <row r="15" s="59" customFormat="true" ht="9" hidden="false" customHeight="true" outlineLevel="0" collapsed="false">
      <c r="B15" s="63"/>
      <c r="N15" s="63"/>
      <c r="T15" s="63"/>
      <c r="X15" s="64"/>
      <c r="Y15" s="63"/>
    </row>
    <row r="16" customFormat="false" ht="16.5" hidden="false" customHeight="true" outlineLevel="0" collapsed="false">
      <c r="B16" s="67" t="s">
        <v>79</v>
      </c>
      <c r="C16" s="67"/>
      <c r="D16" s="67"/>
      <c r="E16" s="67"/>
      <c r="F16" s="59"/>
      <c r="G16" s="59"/>
      <c r="H16" s="67" t="s">
        <v>79</v>
      </c>
      <c r="I16" s="67"/>
      <c r="J16" s="67"/>
      <c r="K16" s="67"/>
      <c r="L16" s="68"/>
      <c r="M16" s="69"/>
      <c r="N16" s="67" t="s">
        <v>79</v>
      </c>
      <c r="O16" s="67"/>
      <c r="P16" s="67"/>
      <c r="Q16" s="67"/>
      <c r="R16" s="59"/>
      <c r="S16" s="59"/>
      <c r="T16" s="67" t="s">
        <v>79</v>
      </c>
      <c r="U16" s="67"/>
      <c r="V16" s="67"/>
      <c r="W16" s="67"/>
      <c r="X16" s="64"/>
      <c r="Y16" s="67" t="s">
        <v>79</v>
      </c>
      <c r="Z16" s="67"/>
      <c r="AA16" s="67"/>
      <c r="AB16" s="67"/>
      <c r="AC16" s="59"/>
    </row>
    <row r="17" customFormat="false" ht="34.5" hidden="false" customHeight="true" outlineLevel="0" collapsed="false">
      <c r="B17" s="70" t="s">
        <v>80</v>
      </c>
      <c r="C17" s="70" t="s">
        <v>81</v>
      </c>
      <c r="D17" s="70" t="s">
        <v>82</v>
      </c>
      <c r="E17" s="70" t="s">
        <v>83</v>
      </c>
      <c r="F17" s="71"/>
      <c r="G17" s="71"/>
      <c r="H17" s="70" t="s">
        <v>80</v>
      </c>
      <c r="I17" s="70" t="s">
        <v>84</v>
      </c>
      <c r="J17" s="70" t="s">
        <v>82</v>
      </c>
      <c r="K17" s="70" t="s">
        <v>85</v>
      </c>
      <c r="L17" s="69"/>
      <c r="M17" s="69"/>
      <c r="N17" s="70" t="s">
        <v>80</v>
      </c>
      <c r="O17" s="70" t="s">
        <v>86</v>
      </c>
      <c r="P17" s="70" t="s">
        <v>87</v>
      </c>
      <c r="Q17" s="70" t="s">
        <v>88</v>
      </c>
      <c r="R17" s="71"/>
      <c r="S17" s="71"/>
      <c r="T17" s="70" t="s">
        <v>80</v>
      </c>
      <c r="U17" s="70" t="s">
        <v>86</v>
      </c>
      <c r="V17" s="70" t="s">
        <v>87</v>
      </c>
      <c r="W17" s="70" t="s">
        <v>89</v>
      </c>
      <c r="X17" s="71"/>
      <c r="Y17" s="70" t="s">
        <v>80</v>
      </c>
      <c r="Z17" s="70" t="s">
        <v>90</v>
      </c>
      <c r="AA17" s="70" t="s">
        <v>82</v>
      </c>
      <c r="AB17" s="70" t="s">
        <v>91</v>
      </c>
      <c r="AC17" s="59"/>
    </row>
    <row r="18" customFormat="false" ht="16.5" hidden="false" customHeight="true" outlineLevel="0" collapsed="false">
      <c r="B18" s="72" t="s">
        <v>92</v>
      </c>
      <c r="C18" s="73"/>
      <c r="D18" s="72"/>
      <c r="E18" s="74"/>
      <c r="F18" s="69"/>
      <c r="G18" s="69"/>
      <c r="H18" s="72" t="s">
        <v>92</v>
      </c>
      <c r="I18" s="73"/>
      <c r="J18" s="72"/>
      <c r="K18" s="74"/>
      <c r="L18" s="69"/>
      <c r="M18" s="69"/>
      <c r="N18" s="72" t="s">
        <v>92</v>
      </c>
      <c r="O18" s="73" t="n">
        <v>20</v>
      </c>
      <c r="P18" s="73" t="n">
        <v>27.98</v>
      </c>
      <c r="Q18" s="73" t="n">
        <f aca="false">O18*P18</f>
        <v>559.6</v>
      </c>
      <c r="R18" s="69"/>
      <c r="S18" s="69"/>
      <c r="T18" s="72" t="s">
        <v>92</v>
      </c>
      <c r="U18" s="73" t="n">
        <v>6</v>
      </c>
      <c r="V18" s="73" t="n">
        <v>22.81</v>
      </c>
      <c r="W18" s="73" t="n">
        <f aca="false">U18*V18</f>
        <v>136.86</v>
      </c>
      <c r="X18" s="69"/>
      <c r="Y18" s="72" t="s">
        <v>92</v>
      </c>
      <c r="Z18" s="72" t="n">
        <v>27.47</v>
      </c>
      <c r="AA18" s="72" t="n">
        <v>27.98</v>
      </c>
      <c r="AB18" s="72" t="n">
        <f aca="false">Z18*AA18</f>
        <v>768.6106</v>
      </c>
      <c r="AC18" s="59"/>
    </row>
    <row r="19" customFormat="false" ht="16.5" hidden="false" customHeight="true" outlineLevel="0" collapsed="false">
      <c r="B19" s="72"/>
      <c r="C19" s="73"/>
      <c r="D19" s="72"/>
      <c r="E19" s="74"/>
      <c r="F19" s="69"/>
      <c r="G19" s="69"/>
      <c r="H19" s="72"/>
      <c r="I19" s="73"/>
      <c r="J19" s="72"/>
      <c r="K19" s="74"/>
      <c r="L19" s="69"/>
      <c r="M19" s="69"/>
      <c r="N19" s="72"/>
      <c r="O19" s="73" t="n">
        <v>60</v>
      </c>
      <c r="P19" s="73" t="n">
        <v>27.98</v>
      </c>
      <c r="Q19" s="73" t="n">
        <f aca="false">O19*P19</f>
        <v>1678.8</v>
      </c>
      <c r="R19" s="69"/>
      <c r="S19" s="69"/>
      <c r="T19" s="72"/>
      <c r="U19" s="73" t="n">
        <v>110</v>
      </c>
      <c r="V19" s="73" t="n">
        <v>26.57</v>
      </c>
      <c r="W19" s="73" t="n">
        <f aca="false">U19*V19</f>
        <v>2922.7</v>
      </c>
      <c r="X19" s="69"/>
      <c r="Y19" s="72"/>
      <c r="Z19" s="72" t="n">
        <v>196.53</v>
      </c>
      <c r="AA19" s="72" t="n">
        <v>27.98</v>
      </c>
      <c r="AB19" s="72" t="n">
        <f aca="false">Z19*AA19</f>
        <v>5498.9094</v>
      </c>
      <c r="AC19" s="59"/>
    </row>
    <row r="20" customFormat="false" ht="16.5" hidden="false" customHeight="true" outlineLevel="0" collapsed="false">
      <c r="B20" s="72"/>
      <c r="C20" s="73"/>
      <c r="D20" s="72"/>
      <c r="E20" s="74"/>
      <c r="F20" s="69"/>
      <c r="G20" s="69"/>
      <c r="H20" s="72"/>
      <c r="I20" s="73"/>
      <c r="J20" s="72"/>
      <c r="K20" s="74"/>
      <c r="L20" s="69"/>
      <c r="M20" s="69"/>
      <c r="N20" s="72"/>
      <c r="O20" s="73"/>
      <c r="P20" s="73"/>
      <c r="Q20" s="73"/>
      <c r="R20" s="69"/>
      <c r="S20" s="69"/>
      <c r="T20" s="72"/>
      <c r="U20" s="73"/>
      <c r="V20" s="73"/>
      <c r="W20" s="73"/>
      <c r="X20" s="69"/>
      <c r="Y20" s="72"/>
      <c r="Z20" s="72"/>
      <c r="AA20" s="72"/>
      <c r="AB20" s="72"/>
      <c r="AC20" s="59"/>
    </row>
    <row r="21" customFormat="false" ht="16.5" hidden="false" customHeight="true" outlineLevel="0" collapsed="false">
      <c r="B21" s="72" t="s">
        <v>93</v>
      </c>
      <c r="C21" s="73"/>
      <c r="D21" s="72"/>
      <c r="E21" s="74"/>
      <c r="F21" s="59"/>
      <c r="G21" s="59"/>
      <c r="H21" s="72" t="s">
        <v>93</v>
      </c>
      <c r="I21" s="73"/>
      <c r="J21" s="72"/>
      <c r="K21" s="74"/>
      <c r="L21" s="69"/>
      <c r="M21" s="69"/>
      <c r="N21" s="72" t="s">
        <v>93</v>
      </c>
      <c r="O21" s="73"/>
      <c r="P21" s="73"/>
      <c r="Q21" s="73"/>
      <c r="R21" s="59"/>
      <c r="S21" s="59"/>
      <c r="T21" s="72" t="s">
        <v>93</v>
      </c>
      <c r="U21" s="73"/>
      <c r="V21" s="73"/>
      <c r="W21" s="73"/>
      <c r="X21" s="75"/>
      <c r="Y21" s="72" t="s">
        <v>93</v>
      </c>
      <c r="Z21" s="74"/>
      <c r="AA21" s="74"/>
      <c r="AB21" s="74"/>
      <c r="AC21" s="59"/>
    </row>
    <row r="22" customFormat="false" ht="16.5" hidden="false" customHeight="true" outlineLevel="0" collapsed="false">
      <c r="B22" s="72" t="s">
        <v>94</v>
      </c>
      <c r="C22" s="73"/>
      <c r="D22" s="72"/>
      <c r="E22" s="74"/>
      <c r="F22" s="59"/>
      <c r="G22" s="59"/>
      <c r="H22" s="72" t="s">
        <v>94</v>
      </c>
      <c r="I22" s="73"/>
      <c r="J22" s="72"/>
      <c r="K22" s="74"/>
      <c r="L22" s="69"/>
      <c r="M22" s="69"/>
      <c r="N22" s="72" t="s">
        <v>94</v>
      </c>
      <c r="O22" s="73"/>
      <c r="P22" s="73"/>
      <c r="Q22" s="73"/>
      <c r="R22" s="59"/>
      <c r="S22" s="59"/>
      <c r="T22" s="72" t="s">
        <v>94</v>
      </c>
      <c r="U22" s="73"/>
      <c r="V22" s="73"/>
      <c r="W22" s="73"/>
      <c r="X22" s="75"/>
      <c r="Y22" s="72" t="s">
        <v>94</v>
      </c>
      <c r="Z22" s="74"/>
      <c r="AA22" s="74"/>
      <c r="AB22" s="74"/>
      <c r="AC22" s="59"/>
    </row>
    <row r="23" customFormat="false" ht="16.5" hidden="false" customHeight="true" outlineLevel="0" collapsed="false">
      <c r="B23" s="72" t="s">
        <v>95</v>
      </c>
      <c r="C23" s="73"/>
      <c r="D23" s="76"/>
      <c r="E23" s="77"/>
      <c r="F23" s="78"/>
      <c r="G23" s="78"/>
      <c r="H23" s="72" t="s">
        <v>95</v>
      </c>
      <c r="I23" s="73"/>
      <c r="J23" s="76"/>
      <c r="K23" s="77"/>
      <c r="L23" s="69"/>
      <c r="M23" s="69"/>
      <c r="N23" s="72" t="s">
        <v>95</v>
      </c>
      <c r="O23" s="73"/>
      <c r="P23" s="73"/>
      <c r="Q23" s="73"/>
      <c r="R23" s="78"/>
      <c r="S23" s="78"/>
      <c r="T23" s="72" t="s">
        <v>95</v>
      </c>
      <c r="U23" s="73"/>
      <c r="V23" s="73"/>
      <c r="W23" s="73"/>
      <c r="X23" s="75"/>
      <c r="Y23" s="72" t="s">
        <v>95</v>
      </c>
      <c r="Z23" s="74"/>
      <c r="AA23" s="74"/>
      <c r="AB23" s="74"/>
      <c r="AC23" s="59"/>
    </row>
    <row r="24" customFormat="false" ht="16.5" hidden="false" customHeight="true" outlineLevel="0" collapsed="false">
      <c r="B24" s="72" t="s">
        <v>96</v>
      </c>
      <c r="C24" s="73"/>
      <c r="D24" s="76"/>
      <c r="E24" s="77"/>
      <c r="F24" s="78"/>
      <c r="G24" s="78"/>
      <c r="H24" s="72" t="s">
        <v>96</v>
      </c>
      <c r="I24" s="73"/>
      <c r="J24" s="76"/>
      <c r="K24" s="77"/>
      <c r="L24" s="69"/>
      <c r="M24" s="69"/>
      <c r="N24" s="72" t="s">
        <v>96</v>
      </c>
      <c r="O24" s="73"/>
      <c r="P24" s="73"/>
      <c r="Q24" s="73"/>
      <c r="R24" s="78"/>
      <c r="S24" s="78"/>
      <c r="T24" s="72" t="s">
        <v>96</v>
      </c>
      <c r="U24" s="73"/>
      <c r="V24" s="73"/>
      <c r="W24" s="73"/>
      <c r="X24" s="75"/>
      <c r="Y24" s="72" t="s">
        <v>96</v>
      </c>
      <c r="Z24" s="74"/>
      <c r="AA24" s="74"/>
      <c r="AB24" s="74"/>
      <c r="AC24" s="59"/>
    </row>
    <row r="25" customFormat="false" ht="16.5" hidden="false" customHeight="true" outlineLevel="0" collapsed="false">
      <c r="B25" s="72" t="s">
        <v>97</v>
      </c>
      <c r="C25" s="73"/>
      <c r="D25" s="72"/>
      <c r="E25" s="77"/>
      <c r="F25" s="78"/>
      <c r="G25" s="78"/>
      <c r="H25" s="72" t="s">
        <v>97</v>
      </c>
      <c r="I25" s="73"/>
      <c r="J25" s="72"/>
      <c r="K25" s="77"/>
      <c r="L25" s="69"/>
      <c r="M25" s="69"/>
      <c r="N25" s="72" t="s">
        <v>97</v>
      </c>
      <c r="O25" s="73"/>
      <c r="P25" s="73"/>
      <c r="Q25" s="73"/>
      <c r="R25" s="78"/>
      <c r="S25" s="78"/>
      <c r="T25" s="72" t="s">
        <v>97</v>
      </c>
      <c r="U25" s="73"/>
      <c r="V25" s="73"/>
      <c r="W25" s="73"/>
      <c r="X25" s="75"/>
      <c r="Y25" s="72" t="s">
        <v>97</v>
      </c>
      <c r="Z25" s="74"/>
      <c r="AA25" s="74"/>
      <c r="AB25" s="74"/>
      <c r="AC25" s="59"/>
    </row>
    <row r="26" customFormat="false" ht="16.5" hidden="false" customHeight="true" outlineLevel="0" collapsed="false">
      <c r="B26" s="72" t="s">
        <v>98</v>
      </c>
      <c r="C26" s="73"/>
      <c r="D26" s="72"/>
      <c r="E26" s="77"/>
      <c r="F26" s="78"/>
      <c r="G26" s="78"/>
      <c r="H26" s="72" t="s">
        <v>98</v>
      </c>
      <c r="I26" s="73"/>
      <c r="J26" s="72"/>
      <c r="K26" s="77"/>
      <c r="L26" s="69"/>
      <c r="M26" s="69"/>
      <c r="N26" s="72" t="s">
        <v>98</v>
      </c>
      <c r="O26" s="73"/>
      <c r="P26" s="73"/>
      <c r="Q26" s="73"/>
      <c r="R26" s="78"/>
      <c r="S26" s="78"/>
      <c r="T26" s="72" t="s">
        <v>98</v>
      </c>
      <c r="U26" s="73"/>
      <c r="V26" s="73"/>
      <c r="W26" s="73"/>
      <c r="X26" s="75"/>
      <c r="Y26" s="72" t="s">
        <v>98</v>
      </c>
      <c r="Z26" s="74"/>
      <c r="AA26" s="74"/>
      <c r="AB26" s="74"/>
      <c r="AC26" s="59"/>
    </row>
    <row r="27" customFormat="false" ht="16.5" hidden="false" customHeight="true" outlineLevel="0" collapsed="false">
      <c r="B27" s="72" t="s">
        <v>99</v>
      </c>
      <c r="C27" s="73"/>
      <c r="D27" s="72"/>
      <c r="E27" s="77"/>
      <c r="F27" s="78"/>
      <c r="G27" s="78"/>
      <c r="H27" s="72" t="s">
        <v>99</v>
      </c>
      <c r="I27" s="73"/>
      <c r="J27" s="72"/>
      <c r="K27" s="77"/>
      <c r="L27" s="69"/>
      <c r="M27" s="69"/>
      <c r="N27" s="72" t="s">
        <v>99</v>
      </c>
      <c r="O27" s="73"/>
      <c r="P27" s="73"/>
      <c r="Q27" s="73"/>
      <c r="R27" s="78"/>
      <c r="S27" s="78"/>
      <c r="T27" s="72" t="s">
        <v>99</v>
      </c>
      <c r="U27" s="73"/>
      <c r="V27" s="73"/>
      <c r="W27" s="73"/>
      <c r="X27" s="75"/>
      <c r="Y27" s="72" t="s">
        <v>99</v>
      </c>
      <c r="Z27" s="74"/>
      <c r="AA27" s="74"/>
      <c r="AB27" s="74"/>
      <c r="AC27" s="59"/>
    </row>
    <row r="28" customFormat="false" ht="16.5" hidden="false" customHeight="true" outlineLevel="0" collapsed="false">
      <c r="B28" s="72" t="s">
        <v>100</v>
      </c>
      <c r="C28" s="73"/>
      <c r="D28" s="72"/>
      <c r="E28" s="77"/>
      <c r="F28" s="78"/>
      <c r="G28" s="78"/>
      <c r="H28" s="72" t="s">
        <v>100</v>
      </c>
      <c r="I28" s="73"/>
      <c r="J28" s="72"/>
      <c r="K28" s="77"/>
      <c r="L28" s="69"/>
      <c r="M28" s="69"/>
      <c r="N28" s="72" t="s">
        <v>100</v>
      </c>
      <c r="O28" s="73"/>
      <c r="P28" s="73"/>
      <c r="Q28" s="73"/>
      <c r="R28" s="78"/>
      <c r="S28" s="78"/>
      <c r="T28" s="72" t="s">
        <v>100</v>
      </c>
      <c r="U28" s="73"/>
      <c r="V28" s="73"/>
      <c r="W28" s="73"/>
      <c r="X28" s="78"/>
      <c r="Y28" s="72" t="s">
        <v>100</v>
      </c>
      <c r="Z28" s="74"/>
      <c r="AA28" s="74"/>
      <c r="AB28" s="74"/>
      <c r="AC28" s="59"/>
    </row>
    <row r="29" customFormat="false" ht="16.5" hidden="false" customHeight="true" outlineLevel="0" collapsed="false">
      <c r="B29" s="72" t="s">
        <v>101</v>
      </c>
      <c r="C29" s="73"/>
      <c r="D29" s="72"/>
      <c r="E29" s="77"/>
      <c r="F29" s="78"/>
      <c r="G29" s="78"/>
      <c r="H29" s="72" t="s">
        <v>101</v>
      </c>
      <c r="I29" s="73"/>
      <c r="J29" s="72"/>
      <c r="K29" s="77"/>
      <c r="L29" s="69"/>
      <c r="M29" s="69"/>
      <c r="N29" s="72" t="s">
        <v>101</v>
      </c>
      <c r="O29" s="73"/>
      <c r="P29" s="73"/>
      <c r="Q29" s="73"/>
      <c r="R29" s="78"/>
      <c r="S29" s="78"/>
      <c r="T29" s="72" t="s">
        <v>101</v>
      </c>
      <c r="U29" s="73"/>
      <c r="V29" s="73"/>
      <c r="W29" s="73"/>
      <c r="X29" s="78"/>
      <c r="Y29" s="72" t="s">
        <v>101</v>
      </c>
      <c r="Z29" s="74"/>
      <c r="AA29" s="74"/>
      <c r="AB29" s="74"/>
      <c r="AC29" s="59"/>
    </row>
    <row r="30" customFormat="false" ht="16.5" hidden="false" customHeight="true" outlineLevel="0" collapsed="false">
      <c r="B30" s="72" t="s">
        <v>102</v>
      </c>
      <c r="C30" s="73"/>
      <c r="D30" s="72"/>
      <c r="E30" s="77"/>
      <c r="F30" s="78"/>
      <c r="G30" s="78"/>
      <c r="H30" s="72" t="s">
        <v>102</v>
      </c>
      <c r="I30" s="73"/>
      <c r="J30" s="72"/>
      <c r="K30" s="77"/>
      <c r="L30" s="69"/>
      <c r="M30" s="69"/>
      <c r="N30" s="72" t="s">
        <v>102</v>
      </c>
      <c r="O30" s="73"/>
      <c r="P30" s="73"/>
      <c r="Q30" s="73"/>
      <c r="R30" s="78"/>
      <c r="S30" s="78"/>
      <c r="T30" s="72" t="s">
        <v>102</v>
      </c>
      <c r="U30" s="73"/>
      <c r="V30" s="73"/>
      <c r="W30" s="73"/>
      <c r="X30" s="78"/>
      <c r="Y30" s="72" t="s">
        <v>102</v>
      </c>
      <c r="Z30" s="74"/>
      <c r="AA30" s="74"/>
      <c r="AB30" s="74"/>
      <c r="AC30" s="59"/>
    </row>
    <row r="31" customFormat="false" ht="16.5" hidden="false" customHeight="true" outlineLevel="0" collapsed="false">
      <c r="B31" s="79" t="s">
        <v>21</v>
      </c>
      <c r="C31" s="73" t="n">
        <f aca="false">SUM(C18:C27)</f>
        <v>0</v>
      </c>
      <c r="D31" s="79"/>
      <c r="E31" s="80" t="n">
        <f aca="false">SUM(E18:E27)</f>
        <v>0</v>
      </c>
      <c r="F31" s="59"/>
      <c r="G31" s="59"/>
      <c r="H31" s="79" t="s">
        <v>21</v>
      </c>
      <c r="I31" s="73" t="n">
        <f aca="false">SUM(I18:I27)</f>
        <v>0</v>
      </c>
      <c r="J31" s="79"/>
      <c r="K31" s="80" t="n">
        <f aca="false">SUM(K18:K27)</f>
        <v>0</v>
      </c>
      <c r="L31" s="69"/>
      <c r="M31" s="69"/>
      <c r="N31" s="79" t="s">
        <v>21</v>
      </c>
      <c r="O31" s="73" t="n">
        <f aca="false">SUM(O18:O27)</f>
        <v>80</v>
      </c>
      <c r="P31" s="79"/>
      <c r="Q31" s="73" t="n">
        <f aca="false">SUM(Q18:Q27)</f>
        <v>2238.4</v>
      </c>
      <c r="R31" s="59"/>
      <c r="S31" s="59"/>
      <c r="T31" s="79" t="s">
        <v>21</v>
      </c>
      <c r="U31" s="73" t="n">
        <f aca="false">SUM(U18:U27)</f>
        <v>116</v>
      </c>
      <c r="V31" s="79"/>
      <c r="W31" s="73" t="n">
        <f aca="false">SUM(W18:W27)</f>
        <v>3059.56</v>
      </c>
      <c r="X31" s="78"/>
      <c r="Y31" s="79" t="s">
        <v>21</v>
      </c>
      <c r="Z31" s="73" t="n">
        <f aca="false">SUM(Z18:Z27)</f>
        <v>224</v>
      </c>
      <c r="AA31" s="79"/>
      <c r="AB31" s="73" t="n">
        <f aca="false">SUM(AB18:AB27)</f>
        <v>6267.52</v>
      </c>
      <c r="AC31" s="59"/>
    </row>
    <row r="32" s="59" customFormat="true" ht="16.5" hidden="false" customHeight="true" outlineLevel="0" collapsed="false">
      <c r="B32" s="81" t="s">
        <v>103</v>
      </c>
      <c r="M32" s="69"/>
    </row>
    <row r="33" s="59" customFormat="true" ht="16.5" hidden="false" customHeight="true" outlineLevel="0" collapsed="false">
      <c r="M33" s="69"/>
    </row>
    <row r="34" customFormat="false" ht="45" hidden="false" customHeight="true" outlineLevel="0" collapsed="false">
      <c r="B34" s="70" t="s">
        <v>104</v>
      </c>
      <c r="C34" s="70" t="s">
        <v>105</v>
      </c>
      <c r="D34" s="70" t="s">
        <v>106</v>
      </c>
      <c r="E34" s="70" t="s">
        <v>107</v>
      </c>
      <c r="F34" s="70" t="s">
        <v>108</v>
      </c>
      <c r="G34" s="78"/>
      <c r="H34" s="70" t="s">
        <v>104</v>
      </c>
      <c r="I34" s="70" t="s">
        <v>105</v>
      </c>
      <c r="J34" s="70" t="s">
        <v>106</v>
      </c>
      <c r="K34" s="70" t="s">
        <v>107</v>
      </c>
      <c r="L34" s="70" t="s">
        <v>109</v>
      </c>
      <c r="M34" s="69"/>
      <c r="N34" s="70" t="s">
        <v>104</v>
      </c>
      <c r="O34" s="70" t="s">
        <v>110</v>
      </c>
      <c r="P34" s="70" t="s">
        <v>107</v>
      </c>
      <c r="Q34" s="70" t="s">
        <v>111</v>
      </c>
      <c r="R34" s="78"/>
      <c r="S34" s="59"/>
      <c r="T34" s="70" t="s">
        <v>104</v>
      </c>
      <c r="U34" s="70" t="s">
        <v>110</v>
      </c>
      <c r="V34" s="70" t="s">
        <v>107</v>
      </c>
      <c r="W34" s="70" t="s">
        <v>112</v>
      </c>
      <c r="X34" s="59"/>
      <c r="Y34" s="70" t="s">
        <v>104</v>
      </c>
      <c r="Z34" s="70" t="s">
        <v>110</v>
      </c>
      <c r="AA34" s="70" t="s">
        <v>107</v>
      </c>
      <c r="AB34" s="70" t="s">
        <v>113</v>
      </c>
      <c r="AC34" s="59"/>
    </row>
    <row r="35" customFormat="false" ht="19.5" hidden="false" customHeight="true" outlineLevel="0" collapsed="false">
      <c r="B35" s="82" t="s">
        <v>114</v>
      </c>
      <c r="C35" s="83"/>
      <c r="D35" s="82" t="s">
        <v>92</v>
      </c>
      <c r="E35" s="72"/>
      <c r="F35" s="84"/>
      <c r="G35" s="78"/>
      <c r="H35" s="82" t="s">
        <v>115</v>
      </c>
      <c r="I35" s="83"/>
      <c r="J35" s="82" t="s">
        <v>92</v>
      </c>
      <c r="K35" s="72"/>
      <c r="L35" s="84"/>
      <c r="M35" s="69"/>
      <c r="N35" s="72" t="s">
        <v>114</v>
      </c>
      <c r="O35" s="82" t="s">
        <v>92</v>
      </c>
      <c r="P35" s="74"/>
      <c r="Q35" s="84"/>
      <c r="R35" s="78"/>
      <c r="S35" s="59"/>
      <c r="T35" s="72" t="s">
        <v>115</v>
      </c>
      <c r="U35" s="82" t="s">
        <v>92</v>
      </c>
      <c r="V35" s="74"/>
      <c r="W35" s="84"/>
      <c r="X35" s="59"/>
      <c r="Y35" s="82" t="s">
        <v>116</v>
      </c>
      <c r="Z35" s="82" t="s">
        <v>92</v>
      </c>
      <c r="AA35" s="85"/>
      <c r="AB35" s="84"/>
      <c r="AC35" s="59"/>
    </row>
    <row r="36" customFormat="false" ht="19.5" hidden="false" customHeight="true" outlineLevel="0" collapsed="false">
      <c r="B36" s="82"/>
      <c r="C36" s="83"/>
      <c r="D36" s="82" t="s">
        <v>93</v>
      </c>
      <c r="E36" s="72"/>
      <c r="F36" s="84"/>
      <c r="G36" s="78"/>
      <c r="H36" s="82"/>
      <c r="I36" s="83"/>
      <c r="J36" s="82" t="s">
        <v>93</v>
      </c>
      <c r="K36" s="72"/>
      <c r="L36" s="84"/>
      <c r="M36" s="69"/>
      <c r="N36" s="72"/>
      <c r="O36" s="82" t="s">
        <v>93</v>
      </c>
      <c r="P36" s="74"/>
      <c r="Q36" s="84"/>
      <c r="R36" s="78"/>
      <c r="S36" s="59"/>
      <c r="T36" s="72"/>
      <c r="U36" s="82" t="s">
        <v>93</v>
      </c>
      <c r="V36" s="74"/>
      <c r="W36" s="84"/>
      <c r="X36" s="59"/>
      <c r="Y36" s="82"/>
      <c r="Z36" s="82" t="s">
        <v>93</v>
      </c>
      <c r="AA36" s="85"/>
      <c r="AB36" s="84"/>
      <c r="AC36" s="59"/>
    </row>
    <row r="37" customFormat="false" ht="19.5" hidden="false" customHeight="true" outlineLevel="0" collapsed="false">
      <c r="B37" s="82"/>
      <c r="C37" s="83"/>
      <c r="D37" s="82" t="s">
        <v>117</v>
      </c>
      <c r="E37" s="72"/>
      <c r="F37" s="84"/>
      <c r="G37" s="78"/>
      <c r="H37" s="82"/>
      <c r="I37" s="83"/>
      <c r="J37" s="82" t="s">
        <v>117</v>
      </c>
      <c r="K37" s="72"/>
      <c r="L37" s="84"/>
      <c r="M37" s="69"/>
      <c r="N37" s="72"/>
      <c r="O37" s="82" t="s">
        <v>117</v>
      </c>
      <c r="P37" s="74"/>
      <c r="Q37" s="84"/>
      <c r="R37" s="78"/>
      <c r="S37" s="59"/>
      <c r="T37" s="72"/>
      <c r="U37" s="82" t="s">
        <v>117</v>
      </c>
      <c r="V37" s="74"/>
      <c r="W37" s="84"/>
      <c r="X37" s="59"/>
      <c r="Y37" s="82"/>
      <c r="Z37" s="82" t="s">
        <v>117</v>
      </c>
      <c r="AA37" s="85"/>
      <c r="AB37" s="84"/>
      <c r="AC37" s="59"/>
    </row>
    <row r="38" customFormat="false" ht="19.5" hidden="false" customHeight="true" outlineLevel="0" collapsed="false">
      <c r="B38" s="72" t="s">
        <v>118</v>
      </c>
      <c r="C38" s="86"/>
      <c r="D38" s="82" t="s">
        <v>117</v>
      </c>
      <c r="E38" s="72"/>
      <c r="F38" s="84"/>
      <c r="G38" s="78"/>
      <c r="H38" s="72" t="s">
        <v>119</v>
      </c>
      <c r="I38" s="86"/>
      <c r="J38" s="82" t="s">
        <v>117</v>
      </c>
      <c r="K38" s="72"/>
      <c r="L38" s="84"/>
      <c r="M38" s="69"/>
      <c r="N38" s="72" t="s">
        <v>118</v>
      </c>
      <c r="O38" s="82" t="s">
        <v>117</v>
      </c>
      <c r="P38" s="74"/>
      <c r="Q38" s="84"/>
      <c r="R38" s="78"/>
      <c r="S38" s="59"/>
      <c r="T38" s="72" t="s">
        <v>119</v>
      </c>
      <c r="U38" s="82" t="s">
        <v>117</v>
      </c>
      <c r="V38" s="74"/>
      <c r="W38" s="84"/>
      <c r="X38" s="59"/>
      <c r="Y38" s="82" t="s">
        <v>120</v>
      </c>
      <c r="Z38" s="82" t="s">
        <v>117</v>
      </c>
      <c r="AA38" s="85"/>
      <c r="AB38" s="84"/>
      <c r="AC38" s="59"/>
    </row>
    <row r="39" customFormat="false" ht="19.5" hidden="false" customHeight="true" outlineLevel="0" collapsed="false">
      <c r="B39" s="72" t="s">
        <v>121</v>
      </c>
      <c r="C39" s="86"/>
      <c r="D39" s="82" t="s">
        <v>117</v>
      </c>
      <c r="E39" s="72"/>
      <c r="F39" s="84"/>
      <c r="G39" s="78"/>
      <c r="H39" s="72" t="s">
        <v>122</v>
      </c>
      <c r="I39" s="86"/>
      <c r="J39" s="82" t="s">
        <v>117</v>
      </c>
      <c r="K39" s="72"/>
      <c r="L39" s="84"/>
      <c r="M39" s="69"/>
      <c r="N39" s="72" t="s">
        <v>121</v>
      </c>
      <c r="O39" s="82" t="s">
        <v>117</v>
      </c>
      <c r="P39" s="74"/>
      <c r="Q39" s="84"/>
      <c r="R39" s="78"/>
      <c r="S39" s="59"/>
      <c r="T39" s="72" t="s">
        <v>122</v>
      </c>
      <c r="U39" s="82" t="s">
        <v>117</v>
      </c>
      <c r="V39" s="74"/>
      <c r="W39" s="84"/>
      <c r="X39" s="87"/>
      <c r="Y39" s="82" t="s">
        <v>123</v>
      </c>
      <c r="Z39" s="82" t="s">
        <v>117</v>
      </c>
      <c r="AA39" s="85"/>
      <c r="AB39" s="84"/>
      <c r="AC39" s="59"/>
    </row>
    <row r="40" customFormat="false" ht="19.5" hidden="false" customHeight="true" outlineLevel="0" collapsed="false">
      <c r="B40" s="72" t="s">
        <v>124</v>
      </c>
      <c r="C40" s="86"/>
      <c r="D40" s="82" t="s">
        <v>117</v>
      </c>
      <c r="E40" s="72"/>
      <c r="F40" s="84"/>
      <c r="G40" s="78"/>
      <c r="H40" s="72" t="s">
        <v>125</v>
      </c>
      <c r="I40" s="86"/>
      <c r="J40" s="82" t="s">
        <v>117</v>
      </c>
      <c r="K40" s="72"/>
      <c r="L40" s="88"/>
      <c r="M40" s="69"/>
      <c r="N40" s="72" t="s">
        <v>124</v>
      </c>
      <c r="O40" s="82" t="s">
        <v>117</v>
      </c>
      <c r="P40" s="74"/>
      <c r="Q40" s="88"/>
      <c r="R40" s="78"/>
      <c r="S40" s="59"/>
      <c r="T40" s="72" t="s">
        <v>125</v>
      </c>
      <c r="U40" s="82" t="s">
        <v>117</v>
      </c>
      <c r="V40" s="74"/>
      <c r="W40" s="88"/>
      <c r="X40" s="87"/>
      <c r="Y40" s="82" t="s">
        <v>126</v>
      </c>
      <c r="Z40" s="82" t="s">
        <v>117</v>
      </c>
      <c r="AA40" s="85"/>
      <c r="AB40" s="88"/>
      <c r="AC40" s="59"/>
    </row>
    <row r="41" customFormat="false" ht="16.5" hidden="false" customHeight="true" outlineLevel="0" collapsed="false">
      <c r="B41" s="89" t="s">
        <v>127</v>
      </c>
      <c r="C41" s="86"/>
      <c r="D41" s="72"/>
      <c r="E41" s="72"/>
      <c r="F41" s="84"/>
      <c r="G41" s="78"/>
      <c r="H41" s="72" t="s">
        <v>102</v>
      </c>
      <c r="I41" s="86"/>
      <c r="J41" s="72"/>
      <c r="K41" s="72"/>
      <c r="L41" s="90"/>
      <c r="M41" s="69"/>
      <c r="N41" s="72" t="s">
        <v>102</v>
      </c>
      <c r="O41" s="82"/>
      <c r="P41" s="74"/>
      <c r="Q41" s="90"/>
      <c r="R41" s="78"/>
      <c r="S41" s="59"/>
      <c r="T41" s="72" t="s">
        <v>102</v>
      </c>
      <c r="U41" s="82"/>
      <c r="V41" s="74"/>
      <c r="W41" s="90"/>
      <c r="X41" s="87"/>
      <c r="Y41" s="72" t="s">
        <v>102</v>
      </c>
      <c r="Z41" s="82"/>
      <c r="AA41" s="74"/>
      <c r="AB41" s="90"/>
      <c r="AC41" s="59"/>
    </row>
    <row r="42" customFormat="false" ht="16.5" hidden="false" customHeight="true" outlineLevel="0" collapsed="false">
      <c r="B42" s="91"/>
      <c r="C42" s="64"/>
      <c r="D42" s="91"/>
      <c r="E42" s="79" t="s">
        <v>39</v>
      </c>
      <c r="F42" s="92" t="n">
        <f aca="false">SUM(F35:F41)</f>
        <v>0</v>
      </c>
      <c r="G42" s="93"/>
      <c r="H42" s="91"/>
      <c r="I42" s="64"/>
      <c r="J42" s="91"/>
      <c r="K42" s="79" t="s">
        <v>39</v>
      </c>
      <c r="L42" s="92" t="n">
        <f aca="false">SUM(L35:L41)</f>
        <v>0</v>
      </c>
      <c r="M42" s="69"/>
      <c r="N42" s="91"/>
      <c r="O42" s="91"/>
      <c r="P42" s="79" t="s">
        <v>39</v>
      </c>
      <c r="Q42" s="92" t="n">
        <f aca="false">SUM(Q35:Q41)</f>
        <v>0</v>
      </c>
      <c r="R42" s="93"/>
      <c r="S42" s="59"/>
      <c r="T42" s="91"/>
      <c r="U42" s="91"/>
      <c r="V42" s="79" t="s">
        <v>39</v>
      </c>
      <c r="W42" s="92" t="n">
        <f aca="false">SUM(W35:W41)</f>
        <v>0</v>
      </c>
      <c r="X42" s="94"/>
      <c r="Y42" s="91"/>
      <c r="Z42" s="91"/>
      <c r="AA42" s="79" t="s">
        <v>39</v>
      </c>
      <c r="AB42" s="92" t="n">
        <f aca="false">SUM(AB35:AB41)</f>
        <v>0</v>
      </c>
      <c r="AC42" s="59"/>
    </row>
    <row r="43" s="59" customFormat="true" ht="16.5" hidden="false" customHeight="true" outlineLevel="0" collapsed="false">
      <c r="B43" s="81" t="s">
        <v>128</v>
      </c>
      <c r="M43" s="69"/>
      <c r="N43" s="69"/>
      <c r="O43" s="69"/>
      <c r="P43" s="69"/>
      <c r="Q43" s="69"/>
    </row>
    <row r="44" s="59" customFormat="true" ht="16.5" hidden="false" customHeight="true" outlineLevel="0" collapsed="false">
      <c r="B44" s="81"/>
      <c r="M44" s="69"/>
      <c r="N44" s="69"/>
      <c r="O44" s="69"/>
      <c r="P44" s="69"/>
      <c r="Q44" s="69"/>
    </row>
    <row r="45" s="59" customFormat="true" ht="16.5" hidden="false" customHeight="true" outlineLevel="0" collapsed="false">
      <c r="B45" s="66" t="s">
        <v>129</v>
      </c>
      <c r="M45" s="69"/>
      <c r="N45" s="69"/>
      <c r="O45" s="69"/>
      <c r="P45" s="69"/>
      <c r="Q45" s="69"/>
    </row>
    <row r="46" s="59" customFormat="true" ht="12.75" hidden="false" customHeight="true" outlineLevel="0" collapsed="false">
      <c r="M46" s="69"/>
      <c r="N46" s="69"/>
      <c r="O46" s="69"/>
      <c r="P46" s="69"/>
      <c r="Q46" s="69"/>
    </row>
    <row r="47" s="59" customFormat="true" ht="14.25" hidden="false" customHeight="true" outlineLevel="0" collapsed="false">
      <c r="B47" s="63" t="s">
        <v>74</v>
      </c>
      <c r="H47" s="63" t="s">
        <v>75</v>
      </c>
      <c r="M47" s="69"/>
      <c r="N47" s="63" t="s">
        <v>76</v>
      </c>
      <c r="T47" s="63" t="s">
        <v>77</v>
      </c>
      <c r="X47" s="64"/>
      <c r="Y47" s="63" t="s">
        <v>78</v>
      </c>
    </row>
    <row r="48" s="59" customFormat="true" ht="9" hidden="false" customHeight="true" outlineLevel="0" collapsed="false">
      <c r="B48" s="63"/>
      <c r="M48" s="69"/>
      <c r="N48" s="63"/>
      <c r="T48" s="63"/>
      <c r="X48" s="64"/>
      <c r="Y48" s="63"/>
    </row>
    <row r="49" customFormat="false" ht="16.5" hidden="false" customHeight="true" outlineLevel="0" collapsed="false">
      <c r="B49" s="67" t="s">
        <v>130</v>
      </c>
      <c r="C49" s="67"/>
      <c r="D49" s="67"/>
      <c r="E49" s="67"/>
      <c r="F49" s="59"/>
      <c r="G49" s="59"/>
      <c r="H49" s="67" t="s">
        <v>79</v>
      </c>
      <c r="I49" s="67"/>
      <c r="J49" s="67"/>
      <c r="K49" s="67"/>
      <c r="L49" s="68"/>
      <c r="M49" s="69"/>
      <c r="N49" s="67" t="s">
        <v>130</v>
      </c>
      <c r="O49" s="67"/>
      <c r="P49" s="67"/>
      <c r="Q49" s="67"/>
      <c r="R49" s="59"/>
      <c r="S49" s="59"/>
      <c r="T49" s="67" t="s">
        <v>130</v>
      </c>
      <c r="U49" s="67"/>
      <c r="V49" s="67"/>
      <c r="W49" s="67"/>
      <c r="X49" s="64"/>
      <c r="Y49" s="67" t="s">
        <v>130</v>
      </c>
      <c r="Z49" s="67"/>
      <c r="AA49" s="67"/>
      <c r="AB49" s="67"/>
      <c r="AC49" s="59"/>
    </row>
    <row r="50" customFormat="false" ht="34.5" hidden="false" customHeight="true" outlineLevel="0" collapsed="false">
      <c r="B50" s="70" t="s">
        <v>80</v>
      </c>
      <c r="C50" s="70" t="s">
        <v>131</v>
      </c>
      <c r="D50" s="70" t="s">
        <v>82</v>
      </c>
      <c r="E50" s="70" t="s">
        <v>83</v>
      </c>
      <c r="F50" s="71"/>
      <c r="G50" s="71"/>
      <c r="H50" s="70" t="s">
        <v>80</v>
      </c>
      <c r="I50" s="70" t="s">
        <v>84</v>
      </c>
      <c r="J50" s="70" t="s">
        <v>82</v>
      </c>
      <c r="K50" s="70" t="s">
        <v>85</v>
      </c>
      <c r="L50" s="69"/>
      <c r="M50" s="69"/>
      <c r="N50" s="70" t="s">
        <v>80</v>
      </c>
      <c r="O50" s="70" t="s">
        <v>86</v>
      </c>
      <c r="P50" s="70" t="s">
        <v>82</v>
      </c>
      <c r="Q50" s="70" t="s">
        <v>88</v>
      </c>
      <c r="R50" s="71"/>
      <c r="S50" s="71"/>
      <c r="T50" s="70" t="s">
        <v>80</v>
      </c>
      <c r="U50" s="70" t="s">
        <v>86</v>
      </c>
      <c r="V50" s="70" t="s">
        <v>82</v>
      </c>
      <c r="W50" s="70" t="s">
        <v>89</v>
      </c>
      <c r="X50" s="71"/>
      <c r="Y50" s="70" t="s">
        <v>80</v>
      </c>
      <c r="Z50" s="70" t="s">
        <v>90</v>
      </c>
      <c r="AA50" s="70" t="s">
        <v>82</v>
      </c>
      <c r="AB50" s="70" t="s">
        <v>91</v>
      </c>
      <c r="AC50" s="59"/>
    </row>
    <row r="51" customFormat="false" ht="16.5" hidden="false" customHeight="true" outlineLevel="0" collapsed="false">
      <c r="B51" s="72" t="s">
        <v>92</v>
      </c>
      <c r="C51" s="73"/>
      <c r="D51" s="72"/>
      <c r="E51" s="74"/>
      <c r="F51" s="69"/>
      <c r="G51" s="69"/>
      <c r="H51" s="72" t="s">
        <v>92</v>
      </c>
      <c r="I51" s="73"/>
      <c r="J51" s="72"/>
      <c r="K51" s="74"/>
      <c r="L51" s="69"/>
      <c r="M51" s="69"/>
      <c r="N51" s="72" t="s">
        <v>92</v>
      </c>
      <c r="O51" s="73"/>
      <c r="P51" s="73"/>
      <c r="Q51" s="73"/>
      <c r="R51" s="69"/>
      <c r="S51" s="69"/>
      <c r="T51" s="72" t="s">
        <v>92</v>
      </c>
      <c r="U51" s="73"/>
      <c r="V51" s="73"/>
      <c r="W51" s="73"/>
      <c r="X51" s="69"/>
      <c r="Y51" s="72" t="s">
        <v>92</v>
      </c>
      <c r="Z51" s="72"/>
      <c r="AA51" s="72"/>
      <c r="AB51" s="72"/>
      <c r="AC51" s="59"/>
    </row>
    <row r="52" customFormat="false" ht="16.5" hidden="false" customHeight="true" outlineLevel="0" collapsed="false">
      <c r="B52" s="72"/>
      <c r="C52" s="73"/>
      <c r="D52" s="72"/>
      <c r="E52" s="74"/>
      <c r="F52" s="69"/>
      <c r="G52" s="69"/>
      <c r="H52" s="72"/>
      <c r="I52" s="73"/>
      <c r="J52" s="72"/>
      <c r="K52" s="74"/>
      <c r="L52" s="69"/>
      <c r="M52" s="69"/>
      <c r="N52" s="72"/>
      <c r="O52" s="73"/>
      <c r="P52" s="73"/>
      <c r="Q52" s="73"/>
      <c r="R52" s="69"/>
      <c r="S52" s="69"/>
      <c r="T52" s="72"/>
      <c r="U52" s="73"/>
      <c r="V52" s="73"/>
      <c r="W52" s="73"/>
      <c r="X52" s="69"/>
      <c r="Y52" s="72"/>
      <c r="Z52" s="72"/>
      <c r="AA52" s="72"/>
      <c r="AB52" s="72"/>
      <c r="AC52" s="59"/>
    </row>
    <row r="53" customFormat="false" ht="16.5" hidden="false" customHeight="true" outlineLevel="0" collapsed="false">
      <c r="B53" s="72"/>
      <c r="C53" s="73"/>
      <c r="D53" s="72"/>
      <c r="E53" s="74"/>
      <c r="F53" s="69"/>
      <c r="G53" s="69"/>
      <c r="H53" s="72"/>
      <c r="I53" s="73"/>
      <c r="J53" s="72"/>
      <c r="K53" s="74"/>
      <c r="L53" s="69"/>
      <c r="M53" s="69"/>
      <c r="N53" s="72"/>
      <c r="O53" s="73" t="n">
        <v>10</v>
      </c>
      <c r="P53" s="73" t="n">
        <v>27.98</v>
      </c>
      <c r="Q53" s="73" t="n">
        <f aca="false">O53*P53</f>
        <v>279.8</v>
      </c>
      <c r="R53" s="69"/>
      <c r="S53" s="69"/>
      <c r="T53" s="72"/>
      <c r="U53" s="73" t="n">
        <v>12</v>
      </c>
      <c r="V53" s="73" t="n">
        <v>22.81</v>
      </c>
      <c r="W53" s="73" t="n">
        <f aca="false">U53*V53</f>
        <v>273.72</v>
      </c>
      <c r="X53" s="69"/>
      <c r="Y53" s="72"/>
      <c r="Z53" s="72" t="n">
        <v>24.67</v>
      </c>
      <c r="AA53" s="72" t="n">
        <v>27.98</v>
      </c>
      <c r="AB53" s="72" t="n">
        <f aca="false">Z53*AA53</f>
        <v>690.2666</v>
      </c>
      <c r="AC53" s="59"/>
    </row>
    <row r="54" customFormat="false" ht="16.5" hidden="false" customHeight="true" outlineLevel="0" collapsed="false">
      <c r="B54" s="72" t="s">
        <v>93</v>
      </c>
      <c r="C54" s="73"/>
      <c r="D54" s="72"/>
      <c r="E54" s="74"/>
      <c r="F54" s="59"/>
      <c r="G54" s="59"/>
      <c r="H54" s="72" t="s">
        <v>93</v>
      </c>
      <c r="I54" s="73" t="n">
        <v>77</v>
      </c>
      <c r="J54" s="72" t="n">
        <v>90</v>
      </c>
      <c r="K54" s="74" t="n">
        <f aca="false">I54*J54</f>
        <v>6930</v>
      </c>
      <c r="L54" s="69"/>
      <c r="M54" s="69"/>
      <c r="N54" s="72" t="s">
        <v>93</v>
      </c>
      <c r="O54" s="73" t="n">
        <v>60</v>
      </c>
      <c r="P54" s="73" t="n">
        <v>27.98</v>
      </c>
      <c r="Q54" s="73" t="n">
        <f aca="false">O54*P54</f>
        <v>1678.8</v>
      </c>
      <c r="R54" s="59"/>
      <c r="S54" s="59"/>
      <c r="T54" s="72" t="s">
        <v>93</v>
      </c>
      <c r="U54" s="73" t="n">
        <v>130</v>
      </c>
      <c r="V54" s="73" t="n">
        <v>16.0492</v>
      </c>
      <c r="W54" s="73" t="n">
        <f aca="false">U54*V54</f>
        <v>2086.396</v>
      </c>
      <c r="X54" s="75"/>
      <c r="Y54" s="72" t="s">
        <v>93</v>
      </c>
      <c r="Z54" s="74" t="n">
        <v>107.78</v>
      </c>
      <c r="AA54" s="74" t="n">
        <v>27.98</v>
      </c>
      <c r="AB54" s="74" t="n">
        <f aca="false">Z54*AA54</f>
        <v>3015.6844</v>
      </c>
      <c r="AC54" s="59"/>
    </row>
    <row r="55" customFormat="false" ht="16.5" hidden="false" customHeight="true" outlineLevel="0" collapsed="false">
      <c r="B55" s="72" t="s">
        <v>94</v>
      </c>
      <c r="C55" s="73"/>
      <c r="D55" s="72"/>
      <c r="E55" s="74"/>
      <c r="F55" s="59"/>
      <c r="G55" s="59"/>
      <c r="H55" s="72" t="s">
        <v>94</v>
      </c>
      <c r="I55" s="73" t="n">
        <v>8</v>
      </c>
      <c r="J55" s="72" t="n">
        <v>90</v>
      </c>
      <c r="K55" s="74" t="n">
        <f aca="false">I55*J55</f>
        <v>720</v>
      </c>
      <c r="L55" s="69"/>
      <c r="M55" s="69"/>
      <c r="N55" s="72" t="s">
        <v>94</v>
      </c>
      <c r="O55" s="73" t="n">
        <v>20</v>
      </c>
      <c r="P55" s="73" t="n">
        <v>27.98</v>
      </c>
      <c r="Q55" s="73" t="n">
        <f aca="false">O55*P55</f>
        <v>559.6</v>
      </c>
      <c r="R55" s="59"/>
      <c r="S55" s="59"/>
      <c r="T55" s="72" t="s">
        <v>94</v>
      </c>
      <c r="U55" s="73" t="n">
        <v>70</v>
      </c>
      <c r="V55" s="73" t="n">
        <v>19.1171</v>
      </c>
      <c r="W55" s="73" t="n">
        <f aca="false">U55*V55</f>
        <v>1338.197</v>
      </c>
      <c r="X55" s="75"/>
      <c r="Y55" s="72" t="s">
        <v>94</v>
      </c>
      <c r="Z55" s="74" t="n">
        <v>73.78</v>
      </c>
      <c r="AA55" s="74" t="n">
        <v>27.98</v>
      </c>
      <c r="AB55" s="74" t="n">
        <f aca="false">Z55*AA55</f>
        <v>2064.3644</v>
      </c>
      <c r="AC55" s="59"/>
    </row>
    <row r="56" customFormat="false" ht="16.5" hidden="false" customHeight="true" outlineLevel="0" collapsed="false">
      <c r="B56" s="72" t="s">
        <v>95</v>
      </c>
      <c r="C56" s="73"/>
      <c r="D56" s="76"/>
      <c r="E56" s="77"/>
      <c r="F56" s="78"/>
      <c r="G56" s="78"/>
      <c r="H56" s="72" t="s">
        <v>95</v>
      </c>
      <c r="I56" s="73"/>
      <c r="J56" s="76"/>
      <c r="K56" s="77"/>
      <c r="L56" s="69"/>
      <c r="M56" s="69"/>
      <c r="N56" s="72" t="s">
        <v>95</v>
      </c>
      <c r="O56" s="73" t="n">
        <v>50</v>
      </c>
      <c r="P56" s="73" t="n">
        <v>27.98</v>
      </c>
      <c r="Q56" s="73" t="n">
        <f aca="false">O56*P56</f>
        <v>1399</v>
      </c>
      <c r="R56" s="78"/>
      <c r="S56" s="78"/>
      <c r="T56" s="72" t="s">
        <v>95</v>
      </c>
      <c r="U56" s="73" t="n">
        <v>140</v>
      </c>
      <c r="V56" s="73" t="n">
        <v>19.1171</v>
      </c>
      <c r="W56" s="73" t="n">
        <f aca="false">U56*V56</f>
        <v>2676.394</v>
      </c>
      <c r="X56" s="75"/>
      <c r="Y56" s="72" t="s">
        <v>95</v>
      </c>
      <c r="Z56" s="74" t="n">
        <v>39.77</v>
      </c>
      <c r="AA56" s="74" t="n">
        <v>27.98</v>
      </c>
      <c r="AB56" s="74" t="n">
        <f aca="false">Z56*AA56</f>
        <v>1112.7646</v>
      </c>
      <c r="AC56" s="59"/>
    </row>
    <row r="57" customFormat="false" ht="16.5" hidden="false" customHeight="true" outlineLevel="0" collapsed="false">
      <c r="B57" s="72" t="s">
        <v>96</v>
      </c>
      <c r="C57" s="73"/>
      <c r="D57" s="76"/>
      <c r="E57" s="77"/>
      <c r="F57" s="78"/>
      <c r="G57" s="78"/>
      <c r="H57" s="72" t="s">
        <v>96</v>
      </c>
      <c r="I57" s="73"/>
      <c r="J57" s="76"/>
      <c r="K57" s="77"/>
      <c r="L57" s="69"/>
      <c r="M57" s="69"/>
      <c r="N57" s="72" t="s">
        <v>96</v>
      </c>
      <c r="O57" s="73" t="n">
        <v>10</v>
      </c>
      <c r="P57" s="73" t="n">
        <v>27.98</v>
      </c>
      <c r="Q57" s="73" t="n">
        <f aca="false">O57*P57</f>
        <v>279.8</v>
      </c>
      <c r="R57" s="78"/>
      <c r="S57" s="78"/>
      <c r="T57" s="72" t="s">
        <v>96</v>
      </c>
      <c r="U57" s="73" t="n">
        <v>15</v>
      </c>
      <c r="V57" s="73" t="n">
        <v>22.81</v>
      </c>
      <c r="W57" s="73" t="n">
        <f aca="false">U57*V57</f>
        <v>342.15</v>
      </c>
      <c r="X57" s="75"/>
      <c r="Y57" s="72" t="s">
        <v>96</v>
      </c>
      <c r="Z57" s="74" t="n">
        <v>4</v>
      </c>
      <c r="AA57" s="74" t="n">
        <v>27.98</v>
      </c>
      <c r="AB57" s="74" t="n">
        <f aca="false">Z57*AA57</f>
        <v>111.92</v>
      </c>
      <c r="AC57" s="59"/>
    </row>
    <row r="58" customFormat="false" ht="16.5" hidden="false" customHeight="true" outlineLevel="0" collapsed="false">
      <c r="B58" s="72" t="s">
        <v>97</v>
      </c>
      <c r="C58" s="73"/>
      <c r="D58" s="72"/>
      <c r="E58" s="77"/>
      <c r="F58" s="78"/>
      <c r="G58" s="78"/>
      <c r="H58" s="72" t="s">
        <v>97</v>
      </c>
      <c r="I58" s="73"/>
      <c r="J58" s="72"/>
      <c r="K58" s="77"/>
      <c r="L58" s="69"/>
      <c r="M58" s="69"/>
      <c r="N58" s="72" t="s">
        <v>97</v>
      </c>
      <c r="O58" s="73"/>
      <c r="P58" s="73"/>
      <c r="Q58" s="73"/>
      <c r="R58" s="78"/>
      <c r="S58" s="78"/>
      <c r="T58" s="72" t="s">
        <v>97</v>
      </c>
      <c r="U58" s="73"/>
      <c r="V58" s="73"/>
      <c r="W58" s="73"/>
      <c r="X58" s="75"/>
      <c r="Y58" s="72" t="s">
        <v>97</v>
      </c>
      <c r="Z58" s="74"/>
      <c r="AA58" s="74"/>
      <c r="AB58" s="74"/>
      <c r="AC58" s="59"/>
    </row>
    <row r="59" customFormat="false" ht="16.5" hidden="false" customHeight="true" outlineLevel="0" collapsed="false">
      <c r="B59" s="72" t="s">
        <v>98</v>
      </c>
      <c r="C59" s="73"/>
      <c r="D59" s="72"/>
      <c r="E59" s="77"/>
      <c r="F59" s="78"/>
      <c r="G59" s="78"/>
      <c r="H59" s="72" t="s">
        <v>98</v>
      </c>
      <c r="I59" s="73"/>
      <c r="J59" s="72"/>
      <c r="K59" s="77"/>
      <c r="L59" s="69"/>
      <c r="M59" s="69"/>
      <c r="N59" s="72" t="s">
        <v>98</v>
      </c>
      <c r="O59" s="73"/>
      <c r="P59" s="73"/>
      <c r="Q59" s="73"/>
      <c r="R59" s="78"/>
      <c r="S59" s="78"/>
      <c r="T59" s="72" t="s">
        <v>98</v>
      </c>
      <c r="U59" s="73"/>
      <c r="V59" s="73"/>
      <c r="W59" s="73"/>
      <c r="X59" s="75"/>
      <c r="Y59" s="72" t="s">
        <v>98</v>
      </c>
      <c r="Z59" s="74"/>
      <c r="AA59" s="74"/>
      <c r="AB59" s="74"/>
      <c r="AC59" s="59"/>
    </row>
    <row r="60" customFormat="false" ht="16.5" hidden="false" customHeight="true" outlineLevel="0" collapsed="false">
      <c r="B60" s="72" t="s">
        <v>99</v>
      </c>
      <c r="C60" s="73"/>
      <c r="D60" s="72"/>
      <c r="E60" s="77"/>
      <c r="F60" s="78"/>
      <c r="G60" s="78"/>
      <c r="H60" s="72" t="s">
        <v>99</v>
      </c>
      <c r="I60" s="73"/>
      <c r="J60" s="72"/>
      <c r="K60" s="77"/>
      <c r="L60" s="69"/>
      <c r="M60" s="69"/>
      <c r="N60" s="72" t="s">
        <v>99</v>
      </c>
      <c r="O60" s="73"/>
      <c r="P60" s="73"/>
      <c r="Q60" s="73"/>
      <c r="R60" s="78"/>
      <c r="S60" s="78"/>
      <c r="T60" s="72" t="s">
        <v>99</v>
      </c>
      <c r="U60" s="73"/>
      <c r="V60" s="73"/>
      <c r="W60" s="73"/>
      <c r="X60" s="75"/>
      <c r="Y60" s="72" t="s">
        <v>99</v>
      </c>
      <c r="Z60" s="74"/>
      <c r="AA60" s="74"/>
      <c r="AB60" s="74"/>
      <c r="AC60" s="59"/>
    </row>
    <row r="61" customFormat="false" ht="16.5" hidden="false" customHeight="true" outlineLevel="0" collapsed="false">
      <c r="B61" s="72" t="s">
        <v>100</v>
      </c>
      <c r="C61" s="73"/>
      <c r="D61" s="72"/>
      <c r="E61" s="77"/>
      <c r="F61" s="78"/>
      <c r="G61" s="78"/>
      <c r="H61" s="72" t="s">
        <v>100</v>
      </c>
      <c r="I61" s="73"/>
      <c r="J61" s="72"/>
      <c r="K61" s="77"/>
      <c r="L61" s="69"/>
      <c r="M61" s="69"/>
      <c r="N61" s="72" t="s">
        <v>100</v>
      </c>
      <c r="O61" s="73"/>
      <c r="P61" s="73"/>
      <c r="Q61" s="73"/>
      <c r="R61" s="78"/>
      <c r="S61" s="78"/>
      <c r="T61" s="72" t="s">
        <v>100</v>
      </c>
      <c r="U61" s="73"/>
      <c r="V61" s="73"/>
      <c r="W61" s="73"/>
      <c r="X61" s="78"/>
      <c r="Y61" s="72" t="s">
        <v>100</v>
      </c>
      <c r="Z61" s="74"/>
      <c r="AA61" s="74"/>
      <c r="AB61" s="74"/>
      <c r="AC61" s="59"/>
    </row>
    <row r="62" customFormat="false" ht="16.5" hidden="false" customHeight="true" outlineLevel="0" collapsed="false">
      <c r="B62" s="72" t="s">
        <v>101</v>
      </c>
      <c r="C62" s="73"/>
      <c r="D62" s="72"/>
      <c r="E62" s="77"/>
      <c r="F62" s="78"/>
      <c r="G62" s="78"/>
      <c r="H62" s="72" t="s">
        <v>101</v>
      </c>
      <c r="I62" s="73"/>
      <c r="J62" s="72"/>
      <c r="K62" s="77"/>
      <c r="L62" s="69"/>
      <c r="M62" s="69"/>
      <c r="N62" s="72" t="s">
        <v>101</v>
      </c>
      <c r="O62" s="73"/>
      <c r="P62" s="73"/>
      <c r="Q62" s="73"/>
      <c r="R62" s="78"/>
      <c r="S62" s="78"/>
      <c r="T62" s="72" t="s">
        <v>101</v>
      </c>
      <c r="U62" s="73"/>
      <c r="V62" s="73"/>
      <c r="W62" s="73"/>
      <c r="X62" s="78"/>
      <c r="Y62" s="72" t="s">
        <v>101</v>
      </c>
      <c r="Z62" s="74"/>
      <c r="AA62" s="74"/>
      <c r="AB62" s="74"/>
      <c r="AC62" s="59"/>
    </row>
    <row r="63" customFormat="false" ht="16.5" hidden="false" customHeight="true" outlineLevel="0" collapsed="false">
      <c r="B63" s="72" t="s">
        <v>102</v>
      </c>
      <c r="C63" s="73"/>
      <c r="D63" s="72"/>
      <c r="E63" s="77"/>
      <c r="F63" s="78"/>
      <c r="G63" s="78"/>
      <c r="H63" s="72" t="s">
        <v>102</v>
      </c>
      <c r="I63" s="73"/>
      <c r="J63" s="72"/>
      <c r="K63" s="77"/>
      <c r="L63" s="69"/>
      <c r="M63" s="69"/>
      <c r="N63" s="72" t="s">
        <v>102</v>
      </c>
      <c r="O63" s="73"/>
      <c r="P63" s="73"/>
      <c r="Q63" s="73"/>
      <c r="R63" s="78"/>
      <c r="S63" s="78"/>
      <c r="T63" s="72" t="s">
        <v>102</v>
      </c>
      <c r="U63" s="73"/>
      <c r="V63" s="73"/>
      <c r="W63" s="73"/>
      <c r="X63" s="78"/>
      <c r="Y63" s="72" t="s">
        <v>102</v>
      </c>
      <c r="Z63" s="74"/>
      <c r="AA63" s="74"/>
      <c r="AB63" s="74"/>
      <c r="AC63" s="59"/>
    </row>
    <row r="64" customFormat="false" ht="16.5" hidden="false" customHeight="true" outlineLevel="0" collapsed="false">
      <c r="B64" s="79" t="s">
        <v>21</v>
      </c>
      <c r="C64" s="92" t="n">
        <f aca="false">SUM(C51:C60)</f>
        <v>0</v>
      </c>
      <c r="D64" s="79"/>
      <c r="E64" s="92" t="n">
        <f aca="false">SUM(E51:E60)</f>
        <v>0</v>
      </c>
      <c r="F64" s="59"/>
      <c r="G64" s="59"/>
      <c r="H64" s="79" t="s">
        <v>21</v>
      </c>
      <c r="I64" s="92" t="n">
        <f aca="false">SUM(I51:I60)</f>
        <v>85</v>
      </c>
      <c r="J64" s="79"/>
      <c r="K64" s="92" t="n">
        <f aca="false">SUM(K51:K60)</f>
        <v>7650</v>
      </c>
      <c r="L64" s="69"/>
      <c r="M64" s="69"/>
      <c r="N64" s="79" t="s">
        <v>21</v>
      </c>
      <c r="O64" s="73" t="n">
        <f aca="false">SUM(O51:O60)</f>
        <v>150</v>
      </c>
      <c r="P64" s="79"/>
      <c r="Q64" s="73" t="n">
        <f aca="false">SUM(Q51:Q60)</f>
        <v>4197</v>
      </c>
      <c r="R64" s="59"/>
      <c r="S64" s="59"/>
      <c r="T64" s="79" t="s">
        <v>21</v>
      </c>
      <c r="U64" s="73" t="n">
        <f aca="false">SUM(U51:U60)</f>
        <v>367</v>
      </c>
      <c r="V64" s="79"/>
      <c r="W64" s="73" t="n">
        <f aca="false">SUM(W51:W60)</f>
        <v>6716.857</v>
      </c>
      <c r="X64" s="78"/>
      <c r="Y64" s="79" t="s">
        <v>21</v>
      </c>
      <c r="Z64" s="73" t="n">
        <f aca="false">SUM(Z51:Z60)</f>
        <v>250</v>
      </c>
      <c r="AA64" s="79"/>
      <c r="AB64" s="73" t="n">
        <f aca="false">SUM(AB51:AB60)</f>
        <v>6995</v>
      </c>
      <c r="AC64" s="59"/>
    </row>
    <row r="65" s="59" customFormat="true" ht="16.5" hidden="false" customHeight="true" outlineLevel="0" collapsed="false"/>
    <row r="66" customFormat="false" ht="36" hidden="false" customHeight="true" outlineLevel="0" collapsed="false">
      <c r="B66" s="70" t="s">
        <v>104</v>
      </c>
      <c r="C66" s="70" t="s">
        <v>105</v>
      </c>
      <c r="D66" s="70" t="s">
        <v>106</v>
      </c>
      <c r="E66" s="70" t="s">
        <v>107</v>
      </c>
      <c r="F66" s="70" t="s">
        <v>108</v>
      </c>
      <c r="G66" s="78"/>
      <c r="H66" s="70" t="s">
        <v>104</v>
      </c>
      <c r="I66" s="70" t="s">
        <v>105</v>
      </c>
      <c r="J66" s="70" t="s">
        <v>106</v>
      </c>
      <c r="K66" s="70" t="s">
        <v>107</v>
      </c>
      <c r="L66" s="70" t="s">
        <v>109</v>
      </c>
      <c r="M66" s="95"/>
      <c r="N66" s="70" t="s">
        <v>104</v>
      </c>
      <c r="O66" s="70" t="s">
        <v>110</v>
      </c>
      <c r="P66" s="70" t="s">
        <v>107</v>
      </c>
      <c r="Q66" s="70" t="s">
        <v>111</v>
      </c>
      <c r="R66" s="78"/>
      <c r="S66" s="59"/>
      <c r="T66" s="70" t="s">
        <v>104</v>
      </c>
      <c r="U66" s="70" t="s">
        <v>110</v>
      </c>
      <c r="V66" s="70" t="s">
        <v>107</v>
      </c>
      <c r="W66" s="70" t="s">
        <v>112</v>
      </c>
      <c r="X66" s="59"/>
      <c r="Y66" s="70" t="s">
        <v>104</v>
      </c>
      <c r="Z66" s="70" t="s">
        <v>110</v>
      </c>
      <c r="AA66" s="70" t="s">
        <v>107</v>
      </c>
      <c r="AB66" s="70" t="s">
        <v>113</v>
      </c>
      <c r="AC66" s="59"/>
    </row>
    <row r="67" customFormat="false" ht="19.5" hidden="false" customHeight="true" outlineLevel="0" collapsed="false">
      <c r="B67" s="82" t="s">
        <v>114</v>
      </c>
      <c r="C67" s="83"/>
      <c r="D67" s="82" t="s">
        <v>92</v>
      </c>
      <c r="E67" s="82"/>
      <c r="F67" s="84"/>
      <c r="G67" s="78"/>
      <c r="H67" s="82" t="s">
        <v>115</v>
      </c>
      <c r="I67" s="83"/>
      <c r="J67" s="82" t="s">
        <v>92</v>
      </c>
      <c r="K67" s="82"/>
      <c r="L67" s="84"/>
      <c r="M67" s="95"/>
      <c r="N67" s="82" t="s">
        <v>114</v>
      </c>
      <c r="O67" s="82" t="s">
        <v>92</v>
      </c>
      <c r="P67" s="85"/>
      <c r="Q67" s="84"/>
      <c r="R67" s="78"/>
      <c r="S67" s="59"/>
      <c r="T67" s="82" t="s">
        <v>115</v>
      </c>
      <c r="U67" s="82" t="s">
        <v>92</v>
      </c>
      <c r="V67" s="85"/>
      <c r="W67" s="84"/>
      <c r="X67" s="59"/>
      <c r="Y67" s="82" t="s">
        <v>116</v>
      </c>
      <c r="Z67" s="82" t="s">
        <v>92</v>
      </c>
      <c r="AA67" s="74"/>
      <c r="AB67" s="84"/>
      <c r="AC67" s="59"/>
    </row>
    <row r="68" customFormat="false" ht="19.5" hidden="false" customHeight="true" outlineLevel="0" collapsed="false">
      <c r="B68" s="82"/>
      <c r="C68" s="83"/>
      <c r="D68" s="82" t="s">
        <v>93</v>
      </c>
      <c r="E68" s="82"/>
      <c r="F68" s="84"/>
      <c r="G68" s="78"/>
      <c r="H68" s="82"/>
      <c r="I68" s="83"/>
      <c r="J68" s="82" t="s">
        <v>93</v>
      </c>
      <c r="K68" s="82"/>
      <c r="L68" s="84"/>
      <c r="M68" s="95"/>
      <c r="N68" s="82"/>
      <c r="O68" s="82" t="s">
        <v>93</v>
      </c>
      <c r="P68" s="85"/>
      <c r="Q68" s="84"/>
      <c r="R68" s="78"/>
      <c r="S68" s="59"/>
      <c r="T68" s="82"/>
      <c r="U68" s="82" t="s">
        <v>93</v>
      </c>
      <c r="V68" s="85"/>
      <c r="W68" s="84"/>
      <c r="X68" s="59"/>
      <c r="Y68" s="82"/>
      <c r="Z68" s="82" t="s">
        <v>93</v>
      </c>
      <c r="AA68" s="74"/>
      <c r="AB68" s="84"/>
      <c r="AC68" s="59"/>
    </row>
    <row r="69" customFormat="false" ht="19.5" hidden="false" customHeight="true" outlineLevel="0" collapsed="false">
      <c r="B69" s="82"/>
      <c r="C69" s="83"/>
      <c r="D69" s="82" t="s">
        <v>117</v>
      </c>
      <c r="E69" s="82"/>
      <c r="F69" s="84"/>
      <c r="G69" s="78"/>
      <c r="H69" s="82"/>
      <c r="I69" s="83"/>
      <c r="J69" s="82" t="s">
        <v>117</v>
      </c>
      <c r="K69" s="82"/>
      <c r="L69" s="84"/>
      <c r="M69" s="95"/>
      <c r="N69" s="82"/>
      <c r="O69" s="82" t="s">
        <v>117</v>
      </c>
      <c r="P69" s="85"/>
      <c r="Q69" s="84"/>
      <c r="R69" s="78"/>
      <c r="S69" s="59"/>
      <c r="T69" s="82"/>
      <c r="U69" s="82" t="s">
        <v>117</v>
      </c>
      <c r="V69" s="85"/>
      <c r="W69" s="84"/>
      <c r="X69" s="59"/>
      <c r="Y69" s="82"/>
      <c r="Z69" s="82" t="s">
        <v>117</v>
      </c>
      <c r="AA69" s="74"/>
      <c r="AB69" s="84"/>
      <c r="AC69" s="59"/>
    </row>
    <row r="70" customFormat="false" ht="19.5" hidden="false" customHeight="true" outlineLevel="0" collapsed="false">
      <c r="B70" s="82" t="s">
        <v>118</v>
      </c>
      <c r="C70" s="83"/>
      <c r="D70" s="82" t="s">
        <v>117</v>
      </c>
      <c r="E70" s="82"/>
      <c r="F70" s="84"/>
      <c r="G70" s="78"/>
      <c r="H70" s="82" t="s">
        <v>119</v>
      </c>
      <c r="I70" s="83"/>
      <c r="J70" s="82" t="s">
        <v>117</v>
      </c>
      <c r="K70" s="82"/>
      <c r="L70" s="84"/>
      <c r="M70" s="95"/>
      <c r="N70" s="82" t="s">
        <v>118</v>
      </c>
      <c r="O70" s="82" t="s">
        <v>117</v>
      </c>
      <c r="P70" s="85"/>
      <c r="Q70" s="84"/>
      <c r="R70" s="78"/>
      <c r="S70" s="59"/>
      <c r="T70" s="82" t="s">
        <v>119</v>
      </c>
      <c r="U70" s="82" t="s">
        <v>117</v>
      </c>
      <c r="V70" s="85"/>
      <c r="W70" s="84"/>
      <c r="X70" s="59"/>
      <c r="Y70" s="82" t="s">
        <v>120</v>
      </c>
      <c r="Z70" s="82" t="s">
        <v>117</v>
      </c>
      <c r="AA70" s="74"/>
      <c r="AB70" s="84"/>
      <c r="AC70" s="59"/>
    </row>
    <row r="71" customFormat="false" ht="19.5" hidden="false" customHeight="true" outlineLevel="0" collapsed="false">
      <c r="B71" s="82" t="s">
        <v>121</v>
      </c>
      <c r="C71" s="83"/>
      <c r="D71" s="82" t="s">
        <v>117</v>
      </c>
      <c r="E71" s="82"/>
      <c r="F71" s="84"/>
      <c r="G71" s="78"/>
      <c r="H71" s="82" t="s">
        <v>122</v>
      </c>
      <c r="I71" s="83"/>
      <c r="J71" s="82" t="s">
        <v>117</v>
      </c>
      <c r="K71" s="82"/>
      <c r="L71" s="84"/>
      <c r="M71" s="95"/>
      <c r="N71" s="82" t="s">
        <v>121</v>
      </c>
      <c r="O71" s="82" t="s">
        <v>117</v>
      </c>
      <c r="P71" s="85"/>
      <c r="Q71" s="84"/>
      <c r="R71" s="78"/>
      <c r="S71" s="59"/>
      <c r="T71" s="82" t="s">
        <v>122</v>
      </c>
      <c r="U71" s="82" t="s">
        <v>117</v>
      </c>
      <c r="V71" s="85"/>
      <c r="W71" s="84"/>
      <c r="X71" s="87"/>
      <c r="Y71" s="82" t="s">
        <v>123</v>
      </c>
      <c r="Z71" s="82" t="s">
        <v>117</v>
      </c>
      <c r="AA71" s="74"/>
      <c r="AB71" s="84"/>
      <c r="AC71" s="59"/>
    </row>
    <row r="72" customFormat="false" ht="19.5" hidden="false" customHeight="true" outlineLevel="0" collapsed="false">
      <c r="B72" s="82" t="s">
        <v>124</v>
      </c>
      <c r="C72" s="83"/>
      <c r="D72" s="82" t="s">
        <v>117</v>
      </c>
      <c r="E72" s="82"/>
      <c r="F72" s="84"/>
      <c r="G72" s="78"/>
      <c r="H72" s="82" t="s">
        <v>125</v>
      </c>
      <c r="I72" s="83"/>
      <c r="J72" s="82" t="s">
        <v>117</v>
      </c>
      <c r="K72" s="82"/>
      <c r="L72" s="84"/>
      <c r="M72" s="95"/>
      <c r="N72" s="82" t="s">
        <v>124</v>
      </c>
      <c r="O72" s="82" t="s">
        <v>117</v>
      </c>
      <c r="P72" s="85"/>
      <c r="Q72" s="88"/>
      <c r="R72" s="78"/>
      <c r="S72" s="59"/>
      <c r="T72" s="82" t="s">
        <v>125</v>
      </c>
      <c r="U72" s="82" t="s">
        <v>117</v>
      </c>
      <c r="V72" s="85"/>
      <c r="W72" s="88"/>
      <c r="X72" s="87"/>
      <c r="Y72" s="82" t="s">
        <v>126</v>
      </c>
      <c r="Z72" s="82" t="s">
        <v>117</v>
      </c>
      <c r="AA72" s="74"/>
      <c r="AB72" s="88"/>
      <c r="AC72" s="59"/>
    </row>
    <row r="73" customFormat="false" ht="16.5" hidden="false" customHeight="true" outlineLevel="0" collapsed="false">
      <c r="B73" s="89" t="s">
        <v>127</v>
      </c>
      <c r="C73" s="86"/>
      <c r="D73" s="72"/>
      <c r="E73" s="72"/>
      <c r="F73" s="90"/>
      <c r="G73" s="78"/>
      <c r="H73" s="72" t="s">
        <v>102</v>
      </c>
      <c r="I73" s="86"/>
      <c r="J73" s="72"/>
      <c r="K73" s="72"/>
      <c r="L73" s="90"/>
      <c r="M73" s="96"/>
      <c r="N73" s="72" t="s">
        <v>102</v>
      </c>
      <c r="O73" s="82"/>
      <c r="P73" s="74"/>
      <c r="Q73" s="90"/>
      <c r="R73" s="78"/>
      <c r="S73" s="59"/>
      <c r="T73" s="72" t="s">
        <v>102</v>
      </c>
      <c r="U73" s="82"/>
      <c r="V73" s="74"/>
      <c r="W73" s="90"/>
      <c r="X73" s="87"/>
      <c r="Y73" s="72" t="s">
        <v>102</v>
      </c>
      <c r="Z73" s="82"/>
      <c r="AA73" s="74"/>
      <c r="AB73" s="90"/>
      <c r="AC73" s="59"/>
    </row>
    <row r="74" customFormat="false" ht="16.5" hidden="false" customHeight="true" outlineLevel="0" collapsed="false">
      <c r="B74" s="91"/>
      <c r="C74" s="64"/>
      <c r="D74" s="91"/>
      <c r="E74" s="79" t="s">
        <v>39</v>
      </c>
      <c r="F74" s="92" t="n">
        <f aca="false">SUM(F67:F73)</f>
        <v>0</v>
      </c>
      <c r="G74" s="93"/>
      <c r="H74" s="91"/>
      <c r="I74" s="64"/>
      <c r="J74" s="91"/>
      <c r="K74" s="79" t="s">
        <v>39</v>
      </c>
      <c r="L74" s="92" t="n">
        <f aca="false">SUM(L67:L73)</f>
        <v>0</v>
      </c>
      <c r="M74" s="93"/>
      <c r="N74" s="91"/>
      <c r="O74" s="91"/>
      <c r="P74" s="79" t="s">
        <v>39</v>
      </c>
      <c r="Q74" s="73" t="n">
        <f aca="false">SUM(Q61:Q73)</f>
        <v>4197</v>
      </c>
      <c r="R74" s="93"/>
      <c r="S74" s="59"/>
      <c r="T74" s="91"/>
      <c r="U74" s="91"/>
      <c r="V74" s="79" t="s">
        <v>39</v>
      </c>
      <c r="W74" s="73" t="n">
        <f aca="false">SUM(W61:W73)</f>
        <v>6716.857</v>
      </c>
      <c r="X74" s="94"/>
      <c r="Y74" s="91"/>
      <c r="Z74" s="91"/>
      <c r="AA74" s="79" t="s">
        <v>39</v>
      </c>
      <c r="AB74" s="73" t="n">
        <f aca="false">SUM(AB61:AB73)</f>
        <v>6995</v>
      </c>
      <c r="AC74" s="59"/>
    </row>
    <row r="75" s="59" customFormat="true" ht="16.5" hidden="false" customHeight="true" outlineLevel="0" collapsed="false">
      <c r="B75" s="81" t="s">
        <v>128</v>
      </c>
    </row>
    <row r="76" s="59" customFormat="true" ht="16.5" hidden="false" customHeight="true" outlineLevel="0" collapsed="false"/>
    <row r="77" s="59" customFormat="true" ht="16.5" hidden="false" customHeight="true" outlineLevel="0" collapsed="false"/>
    <row r="78" s="59" customFormat="true" ht="16.5" hidden="false" customHeight="true" outlineLevel="0" collapsed="false">
      <c r="X78" s="97"/>
    </row>
  </sheetData>
  <mergeCells count="40">
    <mergeCell ref="B1:AB1"/>
    <mergeCell ref="B3:C3"/>
    <mergeCell ref="D3:R3"/>
    <mergeCell ref="B4:C4"/>
    <mergeCell ref="D4:R4"/>
    <mergeCell ref="B5:C5"/>
    <mergeCell ref="D5:R5"/>
    <mergeCell ref="B6:C6"/>
    <mergeCell ref="D6:R6"/>
    <mergeCell ref="B8:AB8"/>
    <mergeCell ref="B16:E16"/>
    <mergeCell ref="H16:K16"/>
    <mergeCell ref="N16:Q16"/>
    <mergeCell ref="T16:W16"/>
    <mergeCell ref="Y16:AB16"/>
    <mergeCell ref="B18:B20"/>
    <mergeCell ref="H18:H20"/>
    <mergeCell ref="N18:N20"/>
    <mergeCell ref="T18:T20"/>
    <mergeCell ref="Y18:Y20"/>
    <mergeCell ref="B35:B37"/>
    <mergeCell ref="H35:H37"/>
    <mergeCell ref="N35:N37"/>
    <mergeCell ref="T35:T37"/>
    <mergeCell ref="Y35:Y37"/>
    <mergeCell ref="B49:E49"/>
    <mergeCell ref="H49:K49"/>
    <mergeCell ref="N49:Q49"/>
    <mergeCell ref="T49:W49"/>
    <mergeCell ref="Y49:AB49"/>
    <mergeCell ref="B51:B53"/>
    <mergeCell ref="H51:H53"/>
    <mergeCell ref="N51:N53"/>
    <mergeCell ref="T51:T53"/>
    <mergeCell ref="Y51:Y53"/>
    <mergeCell ref="B67:B69"/>
    <mergeCell ref="H67:H69"/>
    <mergeCell ref="N67:N69"/>
    <mergeCell ref="T67:T69"/>
    <mergeCell ref="Y67:Y69"/>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BI6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1.43359375" defaultRowHeight="16.5" customHeight="true" zeroHeight="false" outlineLevelRow="0" outlineLevelCol="0"/>
  <cols>
    <col collapsed="false" customWidth="true" hidden="false" outlineLevel="0" max="1" min="1" style="98" width="3.15"/>
    <col collapsed="false" customWidth="true" hidden="false" outlineLevel="0" max="2" min="2" style="99" width="17.15"/>
    <col collapsed="false" customWidth="true" hidden="false" outlineLevel="0" max="3" min="3" style="99" width="34"/>
    <col collapsed="false" customWidth="true" hidden="false" outlineLevel="0" max="4" min="4" style="99" width="24.14"/>
    <col collapsed="false" customWidth="true" hidden="false" outlineLevel="0" max="5" min="5" style="99" width="18.71"/>
    <col collapsed="false" customWidth="true" hidden="false" outlineLevel="0" max="6" min="6" style="99" width="19.71"/>
    <col collapsed="false" customWidth="true" hidden="false" outlineLevel="0" max="8" min="7" style="99" width="16.84"/>
    <col collapsed="false" customWidth="true" hidden="false" outlineLevel="0" max="9" min="9" style="99" width="31.42"/>
    <col collapsed="false" customWidth="true" hidden="false" outlineLevel="0" max="11" min="10" style="99" width="21.14"/>
    <col collapsed="false" customWidth="true" hidden="false" outlineLevel="0" max="12" min="12" style="99" width="26"/>
    <col collapsed="false" customWidth="true" hidden="false" outlineLevel="0" max="13" min="13" style="100" width="17"/>
    <col collapsed="false" customWidth="true" hidden="false" outlineLevel="0" max="14" min="14" style="99" width="17.71"/>
    <col collapsed="false" customWidth="true" hidden="false" outlineLevel="0" max="15" min="15" style="99" width="22.57"/>
    <col collapsed="false" customWidth="true" hidden="false" outlineLevel="0" max="16" min="16" style="99" width="15"/>
    <col collapsed="false" customWidth="true" hidden="false" outlineLevel="0" max="18" min="17" style="99" width="21.14"/>
    <col collapsed="false" customWidth="false" hidden="false" outlineLevel="0" max="16384" min="19" style="99" width="11.43"/>
  </cols>
  <sheetData>
    <row r="1" customFormat="false" ht="21.75" hidden="false" customHeight="true" outlineLevel="0" collapsed="false">
      <c r="B1" s="13" t="s">
        <v>132</v>
      </c>
      <c r="C1" s="13"/>
      <c r="D1" s="13"/>
      <c r="E1" s="13"/>
      <c r="F1" s="13"/>
      <c r="G1" s="13"/>
      <c r="H1" s="13"/>
      <c r="I1" s="13"/>
      <c r="J1" s="13"/>
      <c r="K1" s="13"/>
      <c r="L1" s="13"/>
      <c r="M1" s="13"/>
      <c r="N1" s="13"/>
      <c r="O1" s="13"/>
      <c r="P1" s="13"/>
      <c r="Q1" s="13"/>
      <c r="R1" s="13"/>
    </row>
    <row r="2" s="98" customFormat="true" ht="16.5" hidden="false" customHeight="true" outlineLevel="0" collapsed="false">
      <c r="M2" s="101"/>
    </row>
    <row r="3" s="102" customFormat="true" ht="15.75" hidden="false" customHeight="true" outlineLevel="0" collapsed="false">
      <c r="B3" s="61" t="s">
        <v>4</v>
      </c>
      <c r="C3" s="61"/>
      <c r="D3" s="61"/>
      <c r="E3" s="16" t="s">
        <v>5</v>
      </c>
      <c r="F3" s="16"/>
      <c r="G3" s="16"/>
      <c r="H3" s="16"/>
      <c r="I3" s="16"/>
      <c r="J3" s="16"/>
      <c r="K3" s="16"/>
      <c r="L3" s="16"/>
      <c r="M3" s="103"/>
      <c r="N3" s="103"/>
      <c r="O3" s="103"/>
      <c r="P3" s="103"/>
      <c r="Q3" s="103"/>
      <c r="R3" s="103"/>
      <c r="S3" s="103"/>
      <c r="T3" s="103"/>
      <c r="U3" s="103"/>
      <c r="V3" s="103"/>
      <c r="W3" s="103"/>
      <c r="X3" s="103"/>
      <c r="Y3" s="103"/>
      <c r="Z3" s="103"/>
      <c r="AA3" s="103"/>
      <c r="AB3" s="103"/>
      <c r="AC3" s="103"/>
      <c r="AD3" s="103"/>
      <c r="AE3" s="103"/>
      <c r="AF3" s="103"/>
      <c r="AG3" s="103"/>
      <c r="AH3" s="103"/>
      <c r="AI3" s="103"/>
      <c r="AJ3" s="103"/>
      <c r="AK3" s="103"/>
      <c r="AL3" s="103"/>
      <c r="AM3" s="103"/>
      <c r="AN3" s="103"/>
      <c r="AO3" s="103"/>
      <c r="AP3" s="103"/>
      <c r="AQ3" s="103"/>
      <c r="AR3" s="103"/>
      <c r="AS3" s="103"/>
      <c r="AT3" s="103"/>
      <c r="AU3" s="103"/>
      <c r="AV3" s="103"/>
      <c r="AW3" s="103"/>
      <c r="AX3" s="103"/>
      <c r="AY3" s="103"/>
      <c r="AZ3" s="103"/>
      <c r="BA3" s="103"/>
      <c r="BB3" s="103"/>
      <c r="BC3" s="103"/>
      <c r="BD3" s="103"/>
      <c r="BE3" s="103"/>
      <c r="BF3" s="103"/>
      <c r="BG3" s="103"/>
      <c r="BH3" s="103"/>
      <c r="BI3" s="103"/>
    </row>
    <row r="4" s="102" customFormat="true" ht="15.75" hidden="false" customHeight="true" outlineLevel="0" collapsed="false">
      <c r="B4" s="61" t="s">
        <v>68</v>
      </c>
      <c r="C4" s="61"/>
      <c r="D4" s="61"/>
      <c r="E4" s="16" t="s">
        <v>7</v>
      </c>
      <c r="F4" s="16"/>
      <c r="G4" s="16"/>
      <c r="H4" s="16"/>
      <c r="I4" s="16"/>
      <c r="J4" s="16"/>
      <c r="K4" s="16"/>
      <c r="L4" s="16"/>
      <c r="M4" s="103"/>
      <c r="N4" s="103"/>
      <c r="O4" s="103"/>
      <c r="P4" s="103"/>
      <c r="Q4" s="103"/>
      <c r="R4" s="103"/>
      <c r="S4" s="103"/>
      <c r="T4" s="103"/>
      <c r="U4" s="103"/>
      <c r="V4" s="103"/>
      <c r="W4" s="103"/>
      <c r="X4" s="103"/>
      <c r="Y4" s="103"/>
      <c r="Z4" s="103"/>
      <c r="AA4" s="103"/>
      <c r="AB4" s="103"/>
      <c r="AC4" s="103"/>
      <c r="AD4" s="103"/>
      <c r="AE4" s="103"/>
      <c r="AF4" s="103"/>
      <c r="AG4" s="103"/>
      <c r="AH4" s="103"/>
      <c r="AI4" s="103"/>
      <c r="AJ4" s="103"/>
      <c r="AK4" s="103"/>
      <c r="AL4" s="103"/>
      <c r="AM4" s="103"/>
      <c r="AN4" s="103"/>
      <c r="AO4" s="103"/>
      <c r="AP4" s="103"/>
      <c r="AQ4" s="103"/>
      <c r="AR4" s="103"/>
      <c r="AS4" s="103"/>
      <c r="AT4" s="103"/>
      <c r="AU4" s="103"/>
      <c r="AV4" s="103"/>
      <c r="AW4" s="103"/>
      <c r="AX4" s="103"/>
      <c r="AY4" s="103"/>
      <c r="AZ4" s="103"/>
      <c r="BA4" s="103"/>
      <c r="BB4" s="103"/>
      <c r="BC4" s="103"/>
      <c r="BD4" s="103"/>
      <c r="BE4" s="103"/>
      <c r="BF4" s="103"/>
      <c r="BG4" s="103"/>
      <c r="BH4" s="103"/>
      <c r="BI4" s="103"/>
    </row>
    <row r="5" s="102" customFormat="true" ht="15.75" hidden="false" customHeight="true" outlineLevel="0" collapsed="false">
      <c r="B5" s="61" t="s">
        <v>69</v>
      </c>
      <c r="C5" s="61"/>
      <c r="D5" s="61"/>
      <c r="E5" s="16" t="s">
        <v>9</v>
      </c>
      <c r="F5" s="16"/>
      <c r="G5" s="16"/>
      <c r="H5" s="16"/>
      <c r="I5" s="16"/>
      <c r="J5" s="16"/>
      <c r="K5" s="16"/>
      <c r="L5" s="16"/>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103"/>
      <c r="AZ5" s="103"/>
      <c r="BA5" s="103"/>
      <c r="BB5" s="103"/>
      <c r="BC5" s="103"/>
      <c r="BD5" s="103"/>
      <c r="BE5" s="103"/>
      <c r="BF5" s="103"/>
      <c r="BG5" s="103"/>
      <c r="BH5" s="103"/>
      <c r="BI5" s="103"/>
    </row>
    <row r="6" s="102" customFormat="true" ht="15.75" hidden="false" customHeight="true" outlineLevel="0" collapsed="false">
      <c r="B6" s="61" t="s">
        <v>70</v>
      </c>
      <c r="C6" s="61"/>
      <c r="D6" s="61"/>
      <c r="E6" s="16" t="s">
        <v>11</v>
      </c>
      <c r="F6" s="16"/>
      <c r="G6" s="16"/>
      <c r="H6" s="16"/>
      <c r="I6" s="16"/>
      <c r="J6" s="16"/>
      <c r="K6" s="16"/>
      <c r="L6" s="16"/>
      <c r="M6" s="103"/>
      <c r="N6" s="103"/>
      <c r="O6" s="103"/>
      <c r="P6" s="103"/>
      <c r="Q6" s="103"/>
      <c r="R6" s="103"/>
      <c r="S6" s="103"/>
      <c r="T6" s="103"/>
      <c r="U6" s="103"/>
      <c r="V6" s="103"/>
      <c r="W6" s="103"/>
      <c r="X6" s="103"/>
      <c r="Y6" s="103"/>
      <c r="Z6" s="103"/>
      <c r="AA6" s="103"/>
      <c r="AB6" s="103"/>
      <c r="AC6" s="103"/>
      <c r="AD6" s="103"/>
      <c r="AE6" s="103"/>
      <c r="AF6" s="103"/>
      <c r="AG6" s="103"/>
      <c r="AH6" s="103"/>
      <c r="AI6" s="103"/>
      <c r="AJ6" s="103"/>
      <c r="AK6" s="103"/>
      <c r="AL6" s="103"/>
      <c r="AM6" s="103"/>
      <c r="AN6" s="103"/>
      <c r="AO6" s="103"/>
      <c r="AP6" s="103"/>
      <c r="AQ6" s="103"/>
      <c r="AR6" s="103"/>
      <c r="AS6" s="103"/>
      <c r="AT6" s="103"/>
      <c r="AU6" s="103"/>
      <c r="AV6" s="103"/>
      <c r="AW6" s="103"/>
      <c r="AX6" s="103"/>
      <c r="AY6" s="103"/>
      <c r="AZ6" s="103"/>
      <c r="BA6" s="103"/>
      <c r="BB6" s="103"/>
      <c r="BC6" s="103"/>
      <c r="BD6" s="103"/>
      <c r="BE6" s="103"/>
      <c r="BF6" s="103"/>
      <c r="BG6" s="103"/>
      <c r="BH6" s="103"/>
      <c r="BI6" s="103"/>
    </row>
    <row r="7" s="102" customFormat="true" ht="12.75" hidden="false" customHeight="true" outlineLevel="0" collapsed="false">
      <c r="A7" s="103"/>
      <c r="B7" s="103"/>
      <c r="C7" s="103"/>
      <c r="D7" s="103"/>
      <c r="E7" s="103"/>
      <c r="F7" s="103"/>
      <c r="G7" s="103"/>
      <c r="H7" s="103"/>
      <c r="I7" s="103"/>
      <c r="J7" s="103"/>
      <c r="K7" s="103"/>
      <c r="L7" s="103"/>
      <c r="M7" s="103"/>
      <c r="N7" s="103"/>
      <c r="O7" s="103"/>
      <c r="P7" s="103"/>
      <c r="Q7" s="103"/>
      <c r="R7" s="103"/>
      <c r="S7" s="103"/>
      <c r="T7" s="103"/>
      <c r="U7" s="103"/>
      <c r="V7" s="103"/>
      <c r="W7" s="103"/>
      <c r="X7" s="103"/>
      <c r="Y7" s="103"/>
      <c r="Z7" s="103"/>
      <c r="AA7" s="103"/>
      <c r="AB7" s="103"/>
      <c r="AC7" s="103"/>
      <c r="AD7" s="103"/>
      <c r="AE7" s="103"/>
      <c r="AF7" s="103"/>
      <c r="AG7" s="103"/>
      <c r="AH7" s="103"/>
      <c r="AI7" s="103"/>
      <c r="AJ7" s="103"/>
      <c r="AK7" s="103"/>
      <c r="AL7" s="103"/>
      <c r="AM7" s="103"/>
      <c r="AN7" s="103"/>
      <c r="AO7" s="103"/>
      <c r="AP7" s="103"/>
      <c r="AQ7" s="103"/>
      <c r="AR7" s="103"/>
      <c r="AS7" s="103"/>
      <c r="AT7" s="103"/>
      <c r="AU7" s="103"/>
      <c r="AV7" s="103"/>
      <c r="AW7" s="103"/>
      <c r="AX7" s="103"/>
      <c r="AY7" s="103"/>
      <c r="AZ7" s="103"/>
      <c r="BA7" s="103"/>
      <c r="BB7" s="103"/>
      <c r="BC7" s="103"/>
      <c r="BD7" s="103"/>
      <c r="BE7" s="103"/>
      <c r="BF7" s="103"/>
      <c r="BG7" s="103"/>
      <c r="BH7" s="103"/>
      <c r="BI7" s="103"/>
    </row>
    <row r="8" customFormat="false" ht="16.5" hidden="false" customHeight="true" outlineLevel="0" collapsed="false">
      <c r="B8" s="62" t="s">
        <v>199</v>
      </c>
      <c r="C8" s="62"/>
      <c r="D8" s="62"/>
      <c r="E8" s="62"/>
      <c r="F8" s="62"/>
      <c r="G8" s="62"/>
      <c r="H8" s="62"/>
      <c r="I8" s="62"/>
      <c r="J8" s="62"/>
      <c r="K8" s="62"/>
      <c r="L8" s="62"/>
      <c r="M8" s="62"/>
      <c r="N8" s="62"/>
      <c r="O8" s="62"/>
      <c r="P8" s="62"/>
      <c r="Q8" s="62"/>
      <c r="R8" s="62"/>
    </row>
    <row r="9" s="98" customFormat="true" ht="15" hidden="false" customHeight="true" outlineLevel="0" collapsed="false">
      <c r="B9" s="104"/>
      <c r="C9" s="104"/>
      <c r="D9" s="104"/>
      <c r="E9" s="104"/>
      <c r="F9" s="104"/>
      <c r="G9" s="104"/>
      <c r="H9" s="104"/>
      <c r="I9" s="104"/>
      <c r="J9" s="104"/>
      <c r="K9" s="104"/>
      <c r="L9" s="104"/>
      <c r="M9" s="104"/>
      <c r="N9" s="104"/>
      <c r="O9" s="104"/>
      <c r="P9" s="104"/>
      <c r="Q9" s="104"/>
      <c r="R9" s="104"/>
    </row>
    <row r="10" s="98" customFormat="true" ht="15" hidden="false" customHeight="true" outlineLevel="0" collapsed="false">
      <c r="B10" s="63" t="s">
        <v>134</v>
      </c>
      <c r="C10" s="104"/>
      <c r="D10" s="104"/>
      <c r="E10" s="104"/>
      <c r="F10" s="104"/>
      <c r="G10" s="104"/>
      <c r="H10" s="104"/>
      <c r="I10" s="104"/>
      <c r="J10" s="104"/>
      <c r="K10" s="104"/>
      <c r="L10" s="104"/>
      <c r="M10" s="104"/>
      <c r="N10" s="104"/>
      <c r="O10" s="104"/>
      <c r="P10" s="104"/>
      <c r="Q10" s="104"/>
      <c r="R10" s="104"/>
    </row>
    <row r="11" s="98" customFormat="true" ht="15" hidden="false" customHeight="true" outlineLevel="0" collapsed="false">
      <c r="B11" s="104"/>
      <c r="C11" s="104"/>
      <c r="D11" s="104"/>
      <c r="E11" s="104"/>
      <c r="F11" s="104"/>
      <c r="G11" s="104"/>
      <c r="H11" s="104"/>
      <c r="I11" s="104"/>
      <c r="J11" s="104"/>
      <c r="K11" s="104"/>
      <c r="L11" s="104"/>
      <c r="M11" s="104"/>
      <c r="N11" s="104"/>
      <c r="O11" s="104"/>
      <c r="P11" s="104"/>
      <c r="Q11" s="104"/>
      <c r="R11" s="104"/>
    </row>
    <row r="12" customFormat="false" ht="16.5" hidden="false" customHeight="true" outlineLevel="0" collapsed="false">
      <c r="B12" s="67" t="s">
        <v>79</v>
      </c>
      <c r="C12" s="67"/>
      <c r="D12" s="67"/>
      <c r="E12" s="67"/>
      <c r="F12" s="67"/>
      <c r="G12" s="98"/>
      <c r="H12" s="67" t="s">
        <v>130</v>
      </c>
      <c r="I12" s="67"/>
      <c r="J12" s="67"/>
      <c r="K12" s="67"/>
      <c r="L12" s="67"/>
      <c r="M12" s="104"/>
      <c r="N12" s="98"/>
      <c r="O12" s="98"/>
      <c r="P12" s="98"/>
      <c r="Q12" s="98"/>
      <c r="R12" s="98"/>
      <c r="S12" s="98"/>
    </row>
    <row r="13" customFormat="false" ht="33.75" hidden="false" customHeight="true" outlineLevel="0" collapsed="false">
      <c r="B13" s="70" t="s">
        <v>135</v>
      </c>
      <c r="C13" s="70" t="s">
        <v>136</v>
      </c>
      <c r="D13" s="70" t="s">
        <v>137</v>
      </c>
      <c r="E13" s="70" t="s">
        <v>138</v>
      </c>
      <c r="F13" s="70" t="s">
        <v>139</v>
      </c>
      <c r="G13" s="98"/>
      <c r="H13" s="70" t="s">
        <v>135</v>
      </c>
      <c r="I13" s="70" t="s">
        <v>136</v>
      </c>
      <c r="J13" s="70" t="s">
        <v>137</v>
      </c>
      <c r="K13" s="70" t="s">
        <v>138</v>
      </c>
      <c r="L13" s="70" t="s">
        <v>139</v>
      </c>
      <c r="M13" s="104"/>
      <c r="N13" s="98"/>
      <c r="O13" s="98"/>
      <c r="P13" s="98"/>
      <c r="Q13" s="98"/>
      <c r="R13" s="98"/>
      <c r="S13" s="98"/>
    </row>
    <row r="14" customFormat="false" ht="18" hidden="false" customHeight="true" outlineLevel="0" collapsed="false">
      <c r="B14" s="105" t="s">
        <v>92</v>
      </c>
      <c r="C14" s="106" t="n">
        <v>12</v>
      </c>
      <c r="D14" s="106" t="s">
        <v>20</v>
      </c>
      <c r="E14" s="106" t="s">
        <v>20</v>
      </c>
      <c r="F14" s="106" t="s">
        <v>20</v>
      </c>
      <c r="G14" s="98"/>
      <c r="H14" s="105" t="s">
        <v>92</v>
      </c>
      <c r="I14" s="106"/>
      <c r="J14" s="106"/>
      <c r="K14" s="106"/>
      <c r="L14" s="106"/>
      <c r="M14" s="104"/>
      <c r="N14" s="98"/>
      <c r="O14" s="98"/>
      <c r="P14" s="98"/>
      <c r="Q14" s="98"/>
      <c r="R14" s="98"/>
      <c r="S14" s="98"/>
    </row>
    <row r="15" customFormat="false" ht="18" hidden="false" customHeight="true" outlineLevel="0" collapsed="false">
      <c r="B15" s="72" t="s">
        <v>93</v>
      </c>
      <c r="C15" s="107" t="n">
        <v>11</v>
      </c>
      <c r="D15" s="107" t="s">
        <v>20</v>
      </c>
      <c r="E15" s="107" t="s">
        <v>20</v>
      </c>
      <c r="F15" s="107" t="s">
        <v>20</v>
      </c>
      <c r="G15" s="98"/>
      <c r="H15" s="72" t="s">
        <v>93</v>
      </c>
      <c r="I15" s="107"/>
      <c r="J15" s="107"/>
      <c r="K15" s="107"/>
      <c r="L15" s="107"/>
      <c r="M15" s="104"/>
      <c r="N15" s="98"/>
      <c r="O15" s="98"/>
      <c r="P15" s="98"/>
      <c r="Q15" s="98"/>
      <c r="R15" s="98"/>
      <c r="S15" s="98"/>
    </row>
    <row r="16" customFormat="false" ht="18" hidden="false" customHeight="true" outlineLevel="0" collapsed="false">
      <c r="B16" s="72" t="s">
        <v>94</v>
      </c>
      <c r="C16" s="107"/>
      <c r="D16" s="107"/>
      <c r="E16" s="107"/>
      <c r="F16" s="107"/>
      <c r="G16" s="98"/>
      <c r="H16" s="72" t="s">
        <v>94</v>
      </c>
      <c r="I16" s="107" t="n">
        <v>7</v>
      </c>
      <c r="J16" s="107" t="s">
        <v>20</v>
      </c>
      <c r="K16" s="107" t="s">
        <v>20</v>
      </c>
      <c r="L16" s="107" t="s">
        <v>20</v>
      </c>
      <c r="M16" s="104"/>
      <c r="N16" s="98"/>
      <c r="O16" s="98"/>
      <c r="P16" s="98"/>
      <c r="Q16" s="98"/>
      <c r="R16" s="98"/>
      <c r="S16" s="98"/>
    </row>
    <row r="17" customFormat="false" ht="18" hidden="false" customHeight="true" outlineLevel="0" collapsed="false">
      <c r="B17" s="72" t="s">
        <v>95</v>
      </c>
      <c r="C17" s="107"/>
      <c r="D17" s="107"/>
      <c r="E17" s="107"/>
      <c r="F17" s="107"/>
      <c r="G17" s="98"/>
      <c r="H17" s="72" t="s">
        <v>95</v>
      </c>
      <c r="I17" s="107" t="n">
        <v>20</v>
      </c>
      <c r="J17" s="107" t="s">
        <v>20</v>
      </c>
      <c r="K17" s="107" t="s">
        <v>20</v>
      </c>
      <c r="L17" s="107" t="s">
        <v>20</v>
      </c>
      <c r="M17" s="104"/>
      <c r="N17" s="98"/>
      <c r="O17" s="98"/>
      <c r="P17" s="98"/>
      <c r="Q17" s="98"/>
      <c r="R17" s="98"/>
      <c r="S17" s="98"/>
    </row>
    <row r="18" customFormat="false" ht="18" hidden="false" customHeight="true" outlineLevel="0" collapsed="false">
      <c r="B18" s="72" t="s">
        <v>96</v>
      </c>
      <c r="C18" s="106"/>
      <c r="D18" s="106"/>
      <c r="E18" s="106"/>
      <c r="F18" s="106"/>
      <c r="G18" s="98"/>
      <c r="H18" s="72" t="s">
        <v>96</v>
      </c>
      <c r="I18" s="106" t="n">
        <v>9</v>
      </c>
      <c r="J18" s="106" t="s">
        <v>20</v>
      </c>
      <c r="K18" s="106" t="s">
        <v>20</v>
      </c>
      <c r="L18" s="106" t="s">
        <v>20</v>
      </c>
      <c r="M18" s="104"/>
      <c r="N18" s="98"/>
      <c r="O18" s="98"/>
      <c r="P18" s="98"/>
      <c r="Q18" s="98"/>
      <c r="R18" s="98"/>
      <c r="S18" s="98"/>
    </row>
    <row r="19" customFormat="false" ht="18" hidden="false" customHeight="true" outlineLevel="0" collapsed="false">
      <c r="B19" s="72" t="s">
        <v>97</v>
      </c>
      <c r="C19" s="107"/>
      <c r="D19" s="107"/>
      <c r="E19" s="107"/>
      <c r="F19" s="107"/>
      <c r="G19" s="98"/>
      <c r="H19" s="72" t="s">
        <v>97</v>
      </c>
      <c r="I19" s="107" t="n">
        <v>16</v>
      </c>
      <c r="J19" s="107" t="s">
        <v>20</v>
      </c>
      <c r="K19" s="107" t="s">
        <v>20</v>
      </c>
      <c r="L19" s="107" t="s">
        <v>20</v>
      </c>
      <c r="M19" s="104"/>
      <c r="N19" s="98"/>
      <c r="O19" s="98"/>
      <c r="P19" s="98"/>
      <c r="Q19" s="98"/>
      <c r="R19" s="98"/>
      <c r="S19" s="98"/>
    </row>
    <row r="20" customFormat="false" ht="18" hidden="false" customHeight="true" outlineLevel="0" collapsed="false">
      <c r="B20" s="72" t="s">
        <v>98</v>
      </c>
      <c r="C20" s="107"/>
      <c r="D20" s="107"/>
      <c r="E20" s="107"/>
      <c r="F20" s="107"/>
      <c r="G20" s="98"/>
      <c r="H20" s="72" t="s">
        <v>98</v>
      </c>
      <c r="I20" s="107" t="n">
        <v>22</v>
      </c>
      <c r="J20" s="107" t="s">
        <v>20</v>
      </c>
      <c r="K20" s="107" t="s">
        <v>22</v>
      </c>
      <c r="L20" s="107" t="s">
        <v>20</v>
      </c>
      <c r="M20" s="104"/>
      <c r="N20" s="98"/>
      <c r="O20" s="98"/>
      <c r="P20" s="98"/>
      <c r="Q20" s="98"/>
      <c r="R20" s="98"/>
      <c r="S20" s="98"/>
    </row>
    <row r="21" customFormat="false" ht="18" hidden="false" customHeight="true" outlineLevel="0" collapsed="false">
      <c r="B21" s="72" t="s">
        <v>100</v>
      </c>
      <c r="C21" s="107"/>
      <c r="D21" s="107"/>
      <c r="E21" s="107"/>
      <c r="F21" s="107"/>
      <c r="G21" s="98"/>
      <c r="H21" s="72"/>
      <c r="I21" s="107"/>
      <c r="J21" s="107"/>
      <c r="K21" s="107"/>
      <c r="L21" s="107"/>
      <c r="M21" s="104"/>
      <c r="N21" s="98"/>
      <c r="O21" s="98"/>
      <c r="P21" s="98"/>
      <c r="Q21" s="98"/>
      <c r="R21" s="98"/>
      <c r="S21" s="98"/>
    </row>
    <row r="22" customFormat="false" ht="18" hidden="false" customHeight="true" outlineLevel="0" collapsed="false">
      <c r="B22" s="72" t="s">
        <v>101</v>
      </c>
      <c r="C22" s="107"/>
      <c r="D22" s="107"/>
      <c r="E22" s="107"/>
      <c r="F22" s="107"/>
      <c r="G22" s="98"/>
      <c r="H22" s="72"/>
      <c r="I22" s="107"/>
      <c r="J22" s="107"/>
      <c r="K22" s="107"/>
      <c r="L22" s="107"/>
      <c r="M22" s="104"/>
      <c r="N22" s="98"/>
      <c r="O22" s="98"/>
      <c r="P22" s="98"/>
      <c r="Q22" s="98"/>
      <c r="R22" s="98"/>
      <c r="S22" s="98"/>
    </row>
    <row r="23" customFormat="false" ht="18" hidden="false" customHeight="true" outlineLevel="0" collapsed="false">
      <c r="B23" s="72" t="s">
        <v>102</v>
      </c>
      <c r="C23" s="72"/>
      <c r="D23" s="72"/>
      <c r="E23" s="72"/>
      <c r="F23" s="72"/>
      <c r="G23" s="98"/>
      <c r="H23" s="72"/>
      <c r="I23" s="72"/>
      <c r="J23" s="72"/>
      <c r="K23" s="72"/>
      <c r="L23" s="72"/>
      <c r="M23" s="104"/>
      <c r="N23" s="98"/>
      <c r="O23" s="98"/>
      <c r="P23" s="98"/>
      <c r="Q23" s="98"/>
      <c r="R23" s="98"/>
      <c r="S23" s="98"/>
    </row>
    <row r="24" customFormat="false" ht="24" hidden="false" customHeight="true" outlineLevel="0" collapsed="false">
      <c r="B24" s="108"/>
      <c r="C24" s="79" t="s">
        <v>140</v>
      </c>
      <c r="D24" s="72" t="n">
        <f aca="false">COUNT(D14:D23,sí)</f>
        <v>0</v>
      </c>
      <c r="E24" s="72" t="n">
        <f aca="false">COUNT(E14:E23,sí)</f>
        <v>0</v>
      </c>
      <c r="F24" s="72" t="n">
        <f aca="false">COUNT(F14:F23,sí)</f>
        <v>0</v>
      </c>
      <c r="G24" s="98"/>
      <c r="H24" s="108"/>
      <c r="I24" s="79" t="s">
        <v>140</v>
      </c>
      <c r="J24" s="72" t="n">
        <f aca="false">COUNT(J14:J23,sí)</f>
        <v>0</v>
      </c>
      <c r="K24" s="72" t="n">
        <f aca="false">COUNT(K14:K23,sí)</f>
        <v>0</v>
      </c>
      <c r="L24" s="72" t="n">
        <f aca="false">COUNT(L14:L23,sí)</f>
        <v>0</v>
      </c>
      <c r="M24" s="104"/>
      <c r="N24" s="98"/>
      <c r="O24" s="98"/>
      <c r="P24" s="98"/>
      <c r="Q24" s="98"/>
      <c r="R24" s="98"/>
      <c r="S24" s="98"/>
    </row>
    <row r="25" customFormat="false" ht="12.75" hidden="false" customHeight="true" outlineLevel="0" collapsed="false">
      <c r="B25" s="109" t="s">
        <v>141</v>
      </c>
      <c r="C25" s="98"/>
      <c r="D25" s="98"/>
      <c r="E25" s="98"/>
      <c r="F25" s="98"/>
      <c r="G25" s="98"/>
      <c r="H25" s="98"/>
      <c r="I25" s="98"/>
      <c r="J25" s="98"/>
      <c r="K25" s="98"/>
      <c r="L25" s="98"/>
      <c r="M25" s="104"/>
      <c r="N25" s="98"/>
      <c r="O25" s="98"/>
      <c r="P25" s="98"/>
      <c r="Q25" s="98"/>
      <c r="R25" s="98"/>
      <c r="S25" s="98"/>
    </row>
    <row r="26" s="98" customFormat="true" ht="15" hidden="false" customHeight="true" outlineLevel="0" collapsed="false">
      <c r="B26" s="110" t="s">
        <v>73</v>
      </c>
      <c r="C26" s="111"/>
      <c r="H26" s="112"/>
      <c r="I26" s="112"/>
      <c r="M26" s="101"/>
      <c r="N26" s="112"/>
      <c r="O26" s="112"/>
    </row>
    <row r="27" s="98" customFormat="true" ht="12.75" hidden="false" customHeight="true" outlineLevel="0" collapsed="false">
      <c r="B27" s="113"/>
      <c r="C27" s="113"/>
      <c r="H27" s="112"/>
      <c r="I27" s="112"/>
      <c r="M27" s="101"/>
      <c r="N27" s="112"/>
      <c r="O27" s="112"/>
    </row>
    <row r="28" s="98" customFormat="true" ht="16.5" hidden="false" customHeight="true" outlineLevel="0" collapsed="false">
      <c r="B28" s="114" t="s">
        <v>142</v>
      </c>
      <c r="C28" s="114"/>
      <c r="H28" s="114" t="s">
        <v>143</v>
      </c>
      <c r="I28" s="114"/>
      <c r="M28" s="101"/>
      <c r="N28" s="115" t="s">
        <v>144</v>
      </c>
      <c r="O28" s="115"/>
    </row>
    <row r="29" s="98" customFormat="true" ht="14.25" hidden="false" customHeight="true" outlineLevel="0" collapsed="false">
      <c r="B29" s="112"/>
      <c r="C29" s="112"/>
      <c r="H29" s="112"/>
      <c r="I29" s="112"/>
      <c r="M29" s="101"/>
      <c r="N29" s="112"/>
      <c r="O29" s="112"/>
    </row>
    <row r="30" customFormat="false" ht="16.5" hidden="false" customHeight="true" outlineLevel="0" collapsed="false">
      <c r="B30" s="67" t="s">
        <v>79</v>
      </c>
      <c r="C30" s="67"/>
      <c r="D30" s="67"/>
      <c r="E30" s="67"/>
      <c r="F30" s="67"/>
      <c r="G30" s="98"/>
      <c r="H30" s="67" t="s">
        <v>79</v>
      </c>
      <c r="I30" s="67"/>
      <c r="J30" s="67"/>
      <c r="K30" s="67"/>
      <c r="L30" s="67"/>
      <c r="M30" s="101"/>
      <c r="N30" s="67" t="s">
        <v>79</v>
      </c>
      <c r="O30" s="67"/>
      <c r="P30" s="67"/>
      <c r="Q30" s="67"/>
      <c r="R30" s="67"/>
    </row>
    <row r="31" customFormat="false" ht="46.5" hidden="false" customHeight="true" outlineLevel="0" collapsed="false">
      <c r="B31" s="70" t="s">
        <v>135</v>
      </c>
      <c r="C31" s="70" t="s">
        <v>145</v>
      </c>
      <c r="D31" s="70" t="s">
        <v>146</v>
      </c>
      <c r="E31" s="70" t="s">
        <v>147</v>
      </c>
      <c r="F31" s="116" t="s">
        <v>148</v>
      </c>
      <c r="G31" s="98"/>
      <c r="H31" s="70" t="s">
        <v>135</v>
      </c>
      <c r="I31" s="70" t="s">
        <v>149</v>
      </c>
      <c r="J31" s="70" t="s">
        <v>150</v>
      </c>
      <c r="K31" s="70" t="s">
        <v>151</v>
      </c>
      <c r="L31" s="70" t="s">
        <v>152</v>
      </c>
      <c r="M31" s="101"/>
      <c r="N31" s="70" t="s">
        <v>135</v>
      </c>
      <c r="O31" s="70" t="s">
        <v>153</v>
      </c>
      <c r="P31" s="70" t="s">
        <v>154</v>
      </c>
      <c r="Q31" s="70" t="s">
        <v>155</v>
      </c>
      <c r="R31" s="70" t="s">
        <v>156</v>
      </c>
    </row>
    <row r="32" customFormat="false" ht="18" hidden="false" customHeight="true" outlineLevel="0" collapsed="false">
      <c r="B32" s="82" t="s">
        <v>92</v>
      </c>
      <c r="C32" s="117" t="s">
        <v>157</v>
      </c>
      <c r="D32" s="118" t="n">
        <v>2</v>
      </c>
      <c r="E32" s="119" t="n">
        <v>57.2</v>
      </c>
      <c r="F32" s="120" t="n">
        <v>57.2</v>
      </c>
      <c r="G32" s="98"/>
      <c r="H32" s="82" t="s">
        <v>92</v>
      </c>
      <c r="I32" s="72" t="s">
        <v>158</v>
      </c>
      <c r="J32" s="121" t="n">
        <v>22</v>
      </c>
      <c r="K32" s="122" t="n">
        <v>55</v>
      </c>
      <c r="L32" s="122" t="n">
        <v>605</v>
      </c>
      <c r="M32" s="101"/>
      <c r="N32" s="82" t="s">
        <v>92</v>
      </c>
      <c r="O32" s="72" t="s">
        <v>159</v>
      </c>
      <c r="P32" s="121" t="n">
        <v>48</v>
      </c>
      <c r="Q32" s="123" t="n">
        <v>30</v>
      </c>
      <c r="R32" s="123" t="n">
        <v>720</v>
      </c>
    </row>
    <row r="33" customFormat="false" ht="18" hidden="false" customHeight="true" outlineLevel="0" collapsed="false">
      <c r="B33" s="82"/>
      <c r="C33" s="117"/>
      <c r="D33" s="118"/>
      <c r="E33" s="119"/>
      <c r="F33" s="120"/>
      <c r="G33" s="98"/>
      <c r="H33" s="82"/>
      <c r="I33" s="72"/>
      <c r="J33" s="121"/>
      <c r="K33" s="122"/>
      <c r="L33" s="122"/>
      <c r="M33" s="101"/>
      <c r="N33" s="82"/>
      <c r="O33" s="72"/>
      <c r="P33" s="121"/>
      <c r="Q33" s="123"/>
      <c r="R33" s="123"/>
    </row>
    <row r="34" customFormat="false" ht="18" hidden="false" customHeight="true" outlineLevel="0" collapsed="false">
      <c r="B34" s="82"/>
      <c r="C34" s="117"/>
      <c r="D34" s="118"/>
      <c r="E34" s="119"/>
      <c r="F34" s="120"/>
      <c r="G34" s="98"/>
      <c r="H34" s="82"/>
      <c r="I34" s="72"/>
      <c r="J34" s="121"/>
      <c r="K34" s="122"/>
      <c r="L34" s="122"/>
      <c r="M34" s="101"/>
      <c r="N34" s="82"/>
      <c r="O34" s="72"/>
      <c r="P34" s="121"/>
      <c r="Q34" s="123"/>
      <c r="R34" s="123"/>
    </row>
    <row r="35" customFormat="false" ht="16.5" hidden="false" customHeight="true" outlineLevel="0" collapsed="false">
      <c r="B35" s="72" t="s">
        <v>93</v>
      </c>
      <c r="C35" s="117" t="s">
        <v>157</v>
      </c>
      <c r="D35" s="118" t="n">
        <v>4</v>
      </c>
      <c r="E35" s="124" t="n">
        <v>57.2</v>
      </c>
      <c r="F35" s="125" t="n">
        <v>80.08</v>
      </c>
      <c r="G35" s="98"/>
      <c r="H35" s="72" t="s">
        <v>93</v>
      </c>
      <c r="I35" s="72" t="s">
        <v>158</v>
      </c>
      <c r="J35" s="121" t="n">
        <v>116</v>
      </c>
      <c r="K35" s="122" t="n">
        <v>55</v>
      </c>
      <c r="L35" s="122" t="n">
        <v>2233</v>
      </c>
      <c r="M35" s="101"/>
      <c r="N35" s="72" t="s">
        <v>93</v>
      </c>
      <c r="O35" s="72" t="s">
        <v>159</v>
      </c>
      <c r="P35" s="121" t="n">
        <v>165</v>
      </c>
      <c r="Q35" s="126" t="n">
        <v>30</v>
      </c>
      <c r="R35" s="126" t="n">
        <v>1732.5</v>
      </c>
    </row>
    <row r="36" customFormat="false" ht="16.5" hidden="false" customHeight="true" outlineLevel="0" collapsed="false">
      <c r="B36" s="72" t="s">
        <v>94</v>
      </c>
      <c r="C36" s="72"/>
      <c r="D36" s="121"/>
      <c r="E36" s="123"/>
      <c r="F36" s="123"/>
      <c r="G36" s="98"/>
      <c r="H36" s="72" t="s">
        <v>94</v>
      </c>
      <c r="I36" s="72"/>
      <c r="J36" s="121"/>
      <c r="K36" s="122"/>
      <c r="L36" s="122"/>
      <c r="M36" s="101"/>
      <c r="N36" s="72" t="s">
        <v>94</v>
      </c>
      <c r="O36" s="72"/>
      <c r="P36" s="121"/>
      <c r="Q36" s="126"/>
      <c r="R36" s="126"/>
    </row>
    <row r="37" customFormat="false" ht="16.5" hidden="false" customHeight="true" outlineLevel="0" collapsed="false">
      <c r="B37" s="72" t="s">
        <v>95</v>
      </c>
      <c r="C37" s="72"/>
      <c r="D37" s="121"/>
      <c r="E37" s="127"/>
      <c r="F37" s="127"/>
      <c r="G37" s="98"/>
      <c r="H37" s="72" t="s">
        <v>95</v>
      </c>
      <c r="I37" s="72"/>
      <c r="J37" s="121"/>
      <c r="K37" s="122"/>
      <c r="L37" s="122"/>
      <c r="M37" s="101"/>
      <c r="N37" s="72" t="s">
        <v>95</v>
      </c>
      <c r="O37" s="72"/>
      <c r="P37" s="121"/>
      <c r="Q37" s="126"/>
      <c r="R37" s="126"/>
    </row>
    <row r="38" customFormat="false" ht="16.5" hidden="false" customHeight="true" outlineLevel="0" collapsed="false">
      <c r="B38" s="72" t="s">
        <v>96</v>
      </c>
      <c r="C38" s="72"/>
      <c r="D38" s="121"/>
      <c r="E38" s="127"/>
      <c r="F38" s="127"/>
      <c r="G38" s="98"/>
      <c r="H38" s="72" t="s">
        <v>96</v>
      </c>
      <c r="I38" s="72"/>
      <c r="J38" s="121"/>
      <c r="K38" s="122"/>
      <c r="L38" s="122"/>
      <c r="M38" s="101"/>
      <c r="N38" s="72" t="s">
        <v>96</v>
      </c>
      <c r="O38" s="72"/>
      <c r="P38" s="121"/>
      <c r="Q38" s="126"/>
      <c r="R38" s="126"/>
    </row>
    <row r="39" customFormat="false" ht="16.5" hidden="false" customHeight="true" outlineLevel="0" collapsed="false">
      <c r="B39" s="72" t="s">
        <v>97</v>
      </c>
      <c r="C39" s="72"/>
      <c r="D39" s="121"/>
      <c r="E39" s="127"/>
      <c r="F39" s="127"/>
      <c r="G39" s="98"/>
      <c r="H39" s="72" t="s">
        <v>97</v>
      </c>
      <c r="I39" s="72"/>
      <c r="J39" s="121"/>
      <c r="K39" s="122"/>
      <c r="L39" s="122"/>
      <c r="M39" s="101"/>
      <c r="N39" s="72" t="s">
        <v>97</v>
      </c>
      <c r="O39" s="72"/>
      <c r="P39" s="121"/>
      <c r="Q39" s="126"/>
      <c r="R39" s="126"/>
    </row>
    <row r="40" customFormat="false" ht="16.5" hidden="false" customHeight="true" outlineLevel="0" collapsed="false">
      <c r="B40" s="72" t="s">
        <v>98</v>
      </c>
      <c r="C40" s="72"/>
      <c r="D40" s="121"/>
      <c r="E40" s="127"/>
      <c r="F40" s="127"/>
      <c r="G40" s="98"/>
      <c r="H40" s="72" t="s">
        <v>98</v>
      </c>
      <c r="I40" s="72"/>
      <c r="J40" s="121"/>
      <c r="K40" s="122"/>
      <c r="L40" s="122"/>
      <c r="M40" s="101"/>
      <c r="N40" s="72" t="s">
        <v>98</v>
      </c>
      <c r="O40" s="72"/>
      <c r="P40" s="121"/>
      <c r="Q40" s="126"/>
      <c r="R40" s="126"/>
    </row>
    <row r="41" customFormat="false" ht="16.5" hidden="false" customHeight="true" outlineLevel="0" collapsed="false">
      <c r="B41" s="72" t="s">
        <v>99</v>
      </c>
      <c r="C41" s="72"/>
      <c r="D41" s="121"/>
      <c r="E41" s="127"/>
      <c r="F41" s="127"/>
      <c r="G41" s="98"/>
      <c r="H41" s="72" t="s">
        <v>99</v>
      </c>
      <c r="I41" s="72"/>
      <c r="J41" s="121"/>
      <c r="K41" s="122"/>
      <c r="L41" s="122"/>
      <c r="M41" s="101"/>
      <c r="N41" s="72" t="s">
        <v>99</v>
      </c>
      <c r="O41" s="72"/>
      <c r="P41" s="121"/>
      <c r="Q41" s="126"/>
      <c r="R41" s="126"/>
    </row>
    <row r="42" customFormat="false" ht="16.5" hidden="false" customHeight="true" outlineLevel="0" collapsed="false">
      <c r="B42" s="72" t="s">
        <v>100</v>
      </c>
      <c r="C42" s="72"/>
      <c r="D42" s="121"/>
      <c r="E42" s="127"/>
      <c r="F42" s="127"/>
      <c r="G42" s="98"/>
      <c r="H42" s="72" t="s">
        <v>100</v>
      </c>
      <c r="I42" s="72"/>
      <c r="J42" s="121"/>
      <c r="K42" s="122"/>
      <c r="L42" s="122"/>
      <c r="M42" s="101"/>
      <c r="N42" s="72" t="s">
        <v>100</v>
      </c>
      <c r="O42" s="72"/>
      <c r="P42" s="121"/>
      <c r="Q42" s="126"/>
      <c r="R42" s="126"/>
    </row>
    <row r="43" customFormat="false" ht="16.5" hidden="false" customHeight="true" outlineLevel="0" collapsed="false">
      <c r="B43" s="72" t="s">
        <v>101</v>
      </c>
      <c r="C43" s="72"/>
      <c r="D43" s="121"/>
      <c r="E43" s="127"/>
      <c r="F43" s="127"/>
      <c r="G43" s="98"/>
      <c r="H43" s="72" t="s">
        <v>101</v>
      </c>
      <c r="I43" s="72"/>
      <c r="J43" s="121"/>
      <c r="K43" s="122"/>
      <c r="L43" s="122"/>
      <c r="M43" s="101"/>
      <c r="N43" s="72" t="s">
        <v>101</v>
      </c>
      <c r="O43" s="72"/>
      <c r="P43" s="121"/>
      <c r="Q43" s="126"/>
      <c r="R43" s="126"/>
    </row>
    <row r="44" customFormat="false" ht="16.5" hidden="false" customHeight="true" outlineLevel="0" collapsed="false">
      <c r="B44" s="72" t="s">
        <v>102</v>
      </c>
      <c r="C44" s="72"/>
      <c r="D44" s="121"/>
      <c r="E44" s="127"/>
      <c r="F44" s="127"/>
      <c r="G44" s="98"/>
      <c r="H44" s="72" t="s">
        <v>102</v>
      </c>
      <c r="I44" s="72"/>
      <c r="J44" s="121"/>
      <c r="K44" s="122"/>
      <c r="L44" s="122"/>
      <c r="M44" s="101"/>
      <c r="N44" s="72" t="s">
        <v>102</v>
      </c>
      <c r="O44" s="72"/>
      <c r="P44" s="121"/>
      <c r="Q44" s="126"/>
      <c r="R44" s="126"/>
    </row>
    <row r="45" customFormat="false" ht="16.5" hidden="false" customHeight="true" outlineLevel="0" collapsed="false">
      <c r="B45" s="79" t="s">
        <v>21</v>
      </c>
      <c r="C45" s="79"/>
      <c r="D45" s="121"/>
      <c r="E45" s="127"/>
      <c r="F45" s="127" t="n">
        <f aca="false">F32+F35</f>
        <v>137.28</v>
      </c>
      <c r="G45" s="98"/>
      <c r="H45" s="79"/>
      <c r="I45" s="79"/>
      <c r="J45" s="121"/>
      <c r="K45" s="127"/>
      <c r="L45" s="127" t="n">
        <f aca="false">L32+L35</f>
        <v>2838</v>
      </c>
      <c r="M45" s="101"/>
      <c r="N45" s="79"/>
      <c r="O45" s="79"/>
      <c r="P45" s="121"/>
      <c r="Q45" s="127"/>
      <c r="R45" s="127" t="n">
        <f aca="false">R32+R35</f>
        <v>2452.5</v>
      </c>
    </row>
    <row r="46" s="98" customFormat="true" ht="16.5" hidden="false" customHeight="true" outlineLevel="0" collapsed="false">
      <c r="B46" s="65" t="s">
        <v>160</v>
      </c>
      <c r="M46" s="101"/>
    </row>
    <row r="47" s="98" customFormat="true" ht="18" hidden="false" customHeight="true" outlineLevel="0" collapsed="false">
      <c r="M47" s="101"/>
    </row>
    <row r="48" s="98" customFormat="true" ht="18" hidden="false" customHeight="true" outlineLevel="0" collapsed="false">
      <c r="B48" s="110" t="s">
        <v>129</v>
      </c>
      <c r="C48" s="111"/>
      <c r="H48" s="112"/>
      <c r="I48" s="112"/>
      <c r="M48" s="101"/>
      <c r="N48" s="112"/>
      <c r="O48" s="112"/>
    </row>
    <row r="49" s="98" customFormat="true" ht="18" hidden="false" customHeight="true" outlineLevel="0" collapsed="false">
      <c r="B49" s="113"/>
      <c r="C49" s="113"/>
      <c r="H49" s="112"/>
      <c r="I49" s="112"/>
      <c r="M49" s="101"/>
      <c r="N49" s="112"/>
      <c r="O49" s="112"/>
    </row>
    <row r="50" s="98" customFormat="true" ht="18" hidden="false" customHeight="true" outlineLevel="0" collapsed="false">
      <c r="B50" s="112" t="s">
        <v>142</v>
      </c>
      <c r="C50" s="112"/>
      <c r="H50" s="112" t="s">
        <v>143</v>
      </c>
      <c r="I50" s="112"/>
      <c r="M50" s="101"/>
      <c r="N50" s="112" t="s">
        <v>161</v>
      </c>
      <c r="O50" s="112"/>
    </row>
    <row r="51" s="98" customFormat="true" ht="18" hidden="false" customHeight="true" outlineLevel="0" collapsed="false">
      <c r="B51" s="112"/>
      <c r="C51" s="112"/>
      <c r="H51" s="112"/>
      <c r="I51" s="112"/>
      <c r="M51" s="101"/>
      <c r="N51" s="112"/>
      <c r="O51" s="112"/>
    </row>
    <row r="52" s="98" customFormat="true" ht="18" hidden="false" customHeight="true" outlineLevel="0" collapsed="false">
      <c r="B52" s="67" t="s">
        <v>130</v>
      </c>
      <c r="C52" s="67"/>
      <c r="D52" s="67"/>
      <c r="E52" s="67"/>
      <c r="F52" s="67"/>
      <c r="H52" s="67" t="s">
        <v>130</v>
      </c>
      <c r="I52" s="67"/>
      <c r="J52" s="67"/>
      <c r="K52" s="67"/>
      <c r="L52" s="67"/>
      <c r="M52" s="101"/>
      <c r="N52" s="67" t="s">
        <v>79</v>
      </c>
      <c r="O52" s="67"/>
      <c r="P52" s="67"/>
      <c r="Q52" s="67"/>
      <c r="R52" s="67"/>
    </row>
    <row r="53" s="98" customFormat="true" ht="46.5" hidden="false" customHeight="true" outlineLevel="0" collapsed="false">
      <c r="B53" s="70" t="s">
        <v>135</v>
      </c>
      <c r="C53" s="70" t="s">
        <v>145</v>
      </c>
      <c r="D53" s="70" t="s">
        <v>146</v>
      </c>
      <c r="E53" s="70" t="s">
        <v>147</v>
      </c>
      <c r="F53" s="70" t="s">
        <v>162</v>
      </c>
      <c r="H53" s="70" t="s">
        <v>135</v>
      </c>
      <c r="I53" s="70" t="s">
        <v>149</v>
      </c>
      <c r="J53" s="70" t="s">
        <v>150</v>
      </c>
      <c r="K53" s="70" t="s">
        <v>151</v>
      </c>
      <c r="L53" s="70" t="s">
        <v>152</v>
      </c>
      <c r="M53" s="101"/>
      <c r="N53" s="70" t="s">
        <v>135</v>
      </c>
      <c r="O53" s="70" t="s">
        <v>153</v>
      </c>
      <c r="P53" s="70" t="s">
        <v>154</v>
      </c>
      <c r="Q53" s="70" t="s">
        <v>155</v>
      </c>
      <c r="R53" s="70" t="s">
        <v>156</v>
      </c>
    </row>
    <row r="54" s="98" customFormat="true" ht="18" hidden="false" customHeight="true" outlineLevel="0" collapsed="false">
      <c r="B54" s="72" t="s">
        <v>94</v>
      </c>
      <c r="C54" s="117" t="s">
        <v>157</v>
      </c>
      <c r="D54" s="118" t="n">
        <v>2</v>
      </c>
      <c r="E54" s="124" t="n">
        <v>57.2</v>
      </c>
      <c r="F54" s="124" t="n">
        <v>28.6</v>
      </c>
      <c r="H54" s="72" t="s">
        <v>94</v>
      </c>
      <c r="I54" s="72" t="s">
        <v>158</v>
      </c>
      <c r="J54" s="121" t="n">
        <v>81</v>
      </c>
      <c r="K54" s="122" t="n">
        <v>55</v>
      </c>
      <c r="L54" s="122" t="n">
        <v>1113.75</v>
      </c>
      <c r="M54" s="101"/>
      <c r="N54" s="72" t="s">
        <v>94</v>
      </c>
      <c r="O54" s="72" t="s">
        <v>159</v>
      </c>
      <c r="P54" s="121" t="n">
        <v>112</v>
      </c>
      <c r="Q54" s="123" t="n">
        <v>30</v>
      </c>
      <c r="R54" s="123" t="n">
        <v>840</v>
      </c>
    </row>
    <row r="55" s="98" customFormat="true" ht="18" hidden="false" customHeight="true" outlineLevel="0" collapsed="false">
      <c r="B55" s="108" t="s">
        <v>95</v>
      </c>
      <c r="C55" s="128" t="s">
        <v>157</v>
      </c>
      <c r="D55" s="129" t="n">
        <v>4</v>
      </c>
      <c r="E55" s="130" t="n">
        <v>57.2</v>
      </c>
      <c r="F55" s="130" t="n">
        <v>148.72</v>
      </c>
      <c r="H55" s="108" t="s">
        <v>95</v>
      </c>
      <c r="I55" s="108" t="s">
        <v>158</v>
      </c>
      <c r="J55" s="131" t="n">
        <v>162</v>
      </c>
      <c r="K55" s="132" t="n">
        <v>55</v>
      </c>
      <c r="L55" s="132" t="n">
        <v>5791.5</v>
      </c>
      <c r="M55" s="101"/>
      <c r="N55" s="108" t="s">
        <v>95</v>
      </c>
      <c r="O55" s="108" t="s">
        <v>159</v>
      </c>
      <c r="P55" s="131" t="n">
        <v>219</v>
      </c>
      <c r="Q55" s="133" t="n">
        <v>30</v>
      </c>
      <c r="R55" s="133" t="n">
        <v>4270.5</v>
      </c>
    </row>
    <row r="56" customFormat="false" ht="16.5" hidden="false" customHeight="true" outlineLevel="0" collapsed="false">
      <c r="B56" s="134" t="s">
        <v>96</v>
      </c>
      <c r="C56" s="99" t="s">
        <v>157</v>
      </c>
      <c r="D56" s="99" t="n">
        <v>4</v>
      </c>
      <c r="E56" s="99" t="n">
        <v>57.2</v>
      </c>
      <c r="F56" s="99" t="n">
        <v>80.08</v>
      </c>
      <c r="H56" s="99" t="s">
        <v>96</v>
      </c>
      <c r="I56" s="99" t="s">
        <v>158</v>
      </c>
      <c r="J56" s="99" t="n">
        <v>150</v>
      </c>
      <c r="K56" s="99" t="n">
        <v>55</v>
      </c>
      <c r="L56" s="99" t="n">
        <v>2887.5</v>
      </c>
      <c r="N56" s="99" t="s">
        <v>96</v>
      </c>
      <c r="O56" s="99" t="s">
        <v>159</v>
      </c>
      <c r="P56" s="99" t="n">
        <v>195</v>
      </c>
      <c r="Q56" s="99" t="n">
        <v>30</v>
      </c>
      <c r="R56" s="99" t="n">
        <v>2047.5</v>
      </c>
    </row>
    <row r="57" customFormat="false" ht="23.25" hidden="false" customHeight="true" outlineLevel="0" collapsed="false">
      <c r="B57" s="99" t="s">
        <v>97</v>
      </c>
      <c r="C57" s="99" t="s">
        <v>157</v>
      </c>
      <c r="D57" s="99" t="n">
        <v>8</v>
      </c>
      <c r="E57" s="99" t="n">
        <v>57.2</v>
      </c>
      <c r="F57" s="99" t="n">
        <v>320.32</v>
      </c>
      <c r="H57" s="99" t="s">
        <v>97</v>
      </c>
      <c r="I57" s="99" t="s">
        <v>158</v>
      </c>
      <c r="J57" s="99" t="n">
        <v>84</v>
      </c>
      <c r="K57" s="99" t="n">
        <v>55</v>
      </c>
      <c r="L57" s="99" t="n">
        <v>3234</v>
      </c>
      <c r="N57" s="99" t="s">
        <v>97</v>
      </c>
      <c r="O57" s="99" t="s">
        <v>159</v>
      </c>
      <c r="P57" s="99" t="n">
        <v>184</v>
      </c>
      <c r="Q57" s="99" t="n">
        <v>30</v>
      </c>
      <c r="R57" s="99" t="n">
        <v>3864</v>
      </c>
    </row>
    <row r="58" customFormat="false" ht="16.5" hidden="false" customHeight="true" outlineLevel="0" collapsed="false">
      <c r="B58" s="134" t="s">
        <v>98</v>
      </c>
      <c r="C58" s="99" t="s">
        <v>157</v>
      </c>
      <c r="D58" s="99" t="n">
        <v>3</v>
      </c>
      <c r="E58" s="99" t="n">
        <v>57.2</v>
      </c>
      <c r="F58" s="99" t="n">
        <v>85.8</v>
      </c>
      <c r="H58" s="99" t="s">
        <v>98</v>
      </c>
      <c r="I58" s="99" t="s">
        <v>158</v>
      </c>
      <c r="J58" s="99" t="n">
        <v>0</v>
      </c>
      <c r="K58" s="99" t="n">
        <v>55</v>
      </c>
      <c r="L58" s="99" t="n">
        <v>0</v>
      </c>
      <c r="N58" s="99" t="s">
        <v>98</v>
      </c>
      <c r="O58" s="99" t="s">
        <v>163</v>
      </c>
      <c r="P58" s="99" t="n">
        <v>44</v>
      </c>
      <c r="Q58" s="99" t="n">
        <v>15</v>
      </c>
      <c r="R58" s="99" t="n">
        <v>330</v>
      </c>
    </row>
    <row r="59" customFormat="false" ht="16.5" hidden="false" customHeight="true" outlineLevel="0" collapsed="false">
      <c r="B59" s="135" t="s">
        <v>64</v>
      </c>
      <c r="F59" s="99" t="n">
        <f aca="false">SUM(F54:F58)</f>
        <v>663.52</v>
      </c>
      <c r="L59" s="99" t="n">
        <f aca="false">SUM(L54:L58)</f>
        <v>13026.75</v>
      </c>
      <c r="R59" s="99" t="n">
        <f aca="false">SUM(R54:R58)</f>
        <v>11352</v>
      </c>
    </row>
    <row r="60" customFormat="false" ht="16.5" hidden="false" customHeight="true" outlineLevel="0" collapsed="false">
      <c r="B60" s="136"/>
    </row>
  </sheetData>
  <mergeCells count="27">
    <mergeCell ref="B1:R1"/>
    <mergeCell ref="B3:D3"/>
    <mergeCell ref="E3:L3"/>
    <mergeCell ref="B4:D4"/>
    <mergeCell ref="E4:L4"/>
    <mergeCell ref="B5:D5"/>
    <mergeCell ref="E5:L5"/>
    <mergeCell ref="B6:D6"/>
    <mergeCell ref="E6:L6"/>
    <mergeCell ref="B8:R8"/>
    <mergeCell ref="B12:F12"/>
    <mergeCell ref="H12:L12"/>
    <mergeCell ref="B28:C28"/>
    <mergeCell ref="H28:I28"/>
    <mergeCell ref="N28:O28"/>
    <mergeCell ref="B30:F30"/>
    <mergeCell ref="H30:L30"/>
    <mergeCell ref="N30:R30"/>
    <mergeCell ref="B32:B34"/>
    <mergeCell ref="H32:H34"/>
    <mergeCell ref="N32:N34"/>
    <mergeCell ref="B45:C45"/>
    <mergeCell ref="H45:I45"/>
    <mergeCell ref="N45:O45"/>
    <mergeCell ref="B52:F52"/>
    <mergeCell ref="H52:L52"/>
    <mergeCell ref="N52:R52"/>
  </mergeCells>
  <printOptions headings="false" gridLines="false" gridLinesSet="true" horizontalCentered="false" verticalCentered="false"/>
  <pageMargins left="0.7" right="0.7" top="0.75" bottom="0.75" header="0.511811023622047" footer="0.511811023622047"/>
  <pageSetup paperSize="9"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LibreOffice/26.2.1.2$MacOSX_AARCH64 LibreOffice_project/8399f6259d8c87f40e7255cdb3c9b958f5e08948</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2025-07-03T09:24:15Z</dcterms:created>
  <dc:creator>Guisado Martinez, Laura</dc:creator>
  <dc:description/>
  <dc:language>en-US</dc:language>
  <cp:lastModifiedBy>Sanchez Molano, Veronica</cp:lastModifiedBy>
  <cp:lastPrinted>2025-11-19T08:37:29Z</cp:lastPrinted>
  <dcterms:modified xsi:type="dcterms:W3CDTF">2026-05-13T08:33:47Z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