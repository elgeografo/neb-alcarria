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Proyectos\3061448_INNOVA_2325\AKIS\01_LEGISLACIÓN\FORMACIÓN\2026\MODELOS\MODELOS_CONVO_2026\"/>
    </mc:Choice>
  </mc:AlternateContent>
  <bookViews>
    <workbookView xWindow="28680" yWindow="-120" windowWidth="29040" windowHeight="15840" tabRatio="932" firstSheet="1" activeTab="2"/>
  </bookViews>
  <sheets>
    <sheet name="PRESUPUESTO MIEMBROS_INICIAL" sheetId="4" state="hidden" r:id="rId1"/>
    <sheet name="INSTRUCCIONES" sheetId="17" r:id="rId2"/>
    <sheet name="EXENCIÓN IVA (P.X)" sheetId="18" r:id="rId3"/>
    <sheet name="DESGLOSE PRESUP(PI-II.AC)_AGRUP" sheetId="9" r:id="rId4"/>
    <sheet name="DESGLOSE PRESUP (PI-II.B)_AGRUP" sheetId="11" r:id="rId5"/>
    <sheet name="DESGLOSE PRESUP (PI-II.AC)_ENT" sheetId="13" r:id="rId6"/>
    <sheet name="DESGLOSE PRESUP (PI-II.B)_ENT" sheetId="14" r:id="rId7"/>
    <sheet name="GASTOS PERSONAL P.X" sheetId="8" r:id="rId8"/>
    <sheet name="GASTOS TAM_P.X" sheetId="10" r:id="rId9"/>
    <sheet name="PROVEEDORES PXX-AGRUPACION" sheetId="15" r:id="rId10"/>
    <sheet name="PROVEEDORES PXX-ENTIDAD" sheetId="16" r:id="rId11"/>
  </sheets>
  <externalReferences>
    <externalReference r:id="rId12"/>
    <externalReference r:id="rId13"/>
    <externalReference r:id="rId14"/>
    <externalReference r:id="rId15"/>
  </externalReferences>
  <definedNames>
    <definedName name="Ambito">'[1]Tablas '!$BU$4:$BU$6</definedName>
    <definedName name="Area">[2]Tablas!$H$2:$M$2</definedName>
    <definedName name="_xlnm.Print_Area" localSheetId="2">'EXENCIÓN IVA (P.X)'!$B$1:$J$32</definedName>
    <definedName name="_xlnm.Print_Area" localSheetId="9">'PROVEEDORES PXX-AGRUPACION'!$A$1:$R$17</definedName>
    <definedName name="_xlnm.Print_Area" localSheetId="10">'PROVEEDORES PXX-ENTIDAD'!$A$1:$R$17</definedName>
    <definedName name="Area2">[2]Tablas!$O$2:$T$2</definedName>
    <definedName name="Booleano">'[1]Tablas '!$A$4:$A$5</definedName>
    <definedName name="CCAA">'[1]Tablas '!$J$2:$AA$2</definedName>
    <definedName name="CCAAUnica">'[1]Tablas '!$J$2:$Z$2</definedName>
    <definedName name="EntidadMapa">'[1]Tablas '!$AF$4:$AF$24</definedName>
    <definedName name="ExencionIva">'[1]Tablas '!$AD$4:$AD$6</definedName>
    <definedName name="IVA">[2]Tablas!$BC$4:$BC$6</definedName>
    <definedName name="Mapa">[2]Tablas!$W$4:$W$24</definedName>
    <definedName name="Miembros">'[1]Tablas '!$AH$4:$AH$7</definedName>
    <definedName name="MOD_V02" localSheetId="5">INDIRECT(CONCATENATE("ST_",SUBSTITUTE(SUBSTITUTE(DATOS [3]GENERALES!$D$92,",",)," ",)))</definedName>
    <definedName name="MOD_V02" localSheetId="4">INDIRECT(CONCATENATE("ST_",SUBSTITUTE(SUBSTITUTE(DATOS [3]GENERALES!$D$92,",",)," ",)))</definedName>
    <definedName name="MOD_V02" localSheetId="6">INDIRECT(CONCATENATE("ST_",SUBSTITUTE(SUBSTITUTE(DATOS [3]GENERALES!$D$92,",",)," ",)))</definedName>
    <definedName name="MOD_V02" localSheetId="2">INDIRECT(CONCATENATE("ST_",SUBSTITUTE(SUBSTITUTE(DATOS [3]GENERALES!$D$92,",",)," ",)))</definedName>
    <definedName name="MOD_V02" localSheetId="8">INDIRECT(CONCATENATE("ST_",SUBSTITUTE(SUBSTITUTE(DATOS [3]GENERALES!$D$92,",",)," ",)))</definedName>
    <definedName name="MOD_V02" localSheetId="1">INDIRECT(CONCATENATE("ST_",SUBSTITUTE(SUBSTITUTE(DATOS [3]GENERALES!$D$92,",",)," ",)))</definedName>
    <definedName name="MOD_V02" localSheetId="9">INDIRECT(CONCATENATE("ST_",SUBSTITUTE(SUBSTITUTE(DATOS [3]GENERALES!$D$92,",",)," ",)))</definedName>
    <definedName name="MOD_V02" localSheetId="10">INDIRECT(CONCATENATE("ST_",SUBSTITUTE(SUBSTITUTE(DATOS [3]GENERALES!$D$92,",",)," ",)))</definedName>
    <definedName name="MOD_V02">INDIRECT(CONCATENATE("ST_",SUBSTITUTE(SUBSTITUTE(DATOS [3]GENERALES!$D$92,",",)," ",)))</definedName>
    <definedName name="País">[2]Tablas!$BE$4:$BE$31</definedName>
    <definedName name="Paises">'[1]Tablas '!$BS$13</definedName>
    <definedName name="Personalidad">'[1]Tablas '!$AB$4:$AB$5</definedName>
    <definedName name="ProvinciaEntidad" localSheetId="5">INDIRECT(CONCATENATE("PR_",SUBSTITUTE(SUBSTITUTE(#REF!,",",)," ",)))</definedName>
    <definedName name="ProvinciaEntidad" localSheetId="4">INDIRECT(CONCATENATE("PR_",SUBSTITUTE(SUBSTITUTE(#REF!,",",)," ",)))</definedName>
    <definedName name="ProvinciaEntidad" localSheetId="6">INDIRECT(CONCATENATE("PR_",SUBSTITUTE(SUBSTITUTE(#REF!,",",)," ",)))</definedName>
    <definedName name="ProvinciaEntidad" localSheetId="3">INDIRECT(CONCATENATE("PR_",SUBSTITUTE(SUBSTITUTE(#REF!,",",)," ",)))</definedName>
    <definedName name="ProvinciaEntidad" localSheetId="2">INDIRECT(CONCATENATE("PR_",SUBSTITUTE(SUBSTITUTE(#REF!,",",)," ",)))</definedName>
    <definedName name="ProvinciaEntidad" localSheetId="8">INDIRECT(CONCATENATE("PR_",SUBSTITUTE(SUBSTITUTE(#REF!,",",)," ",)))</definedName>
    <definedName name="ProvinciaEntidad" localSheetId="1">INDIRECT(CONCATENATE("PR_",SUBSTITUTE(SUBSTITUTE(#REF!,",",)," ",)))</definedName>
    <definedName name="ProvinciaEntidad" localSheetId="9">INDIRECT(CONCATENATE("PR_",SUBSTITUTE(SUBSTITUTE(#REF!,",",)," ",)))</definedName>
    <definedName name="ProvinciaEntidad" localSheetId="10">INDIRECT(CONCATENATE("PR_",SUBSTITUTE(SUBSTITUTE(#REF!,",",)," ",)))</definedName>
    <definedName name="ProvinciaEntidad">INDIRECT(CONCATENATE("PR_",SUBSTITUTE(SUBSTITUTE(#REF!,",",)," ",)))</definedName>
    <definedName name="Provincias">[4]Tablas!$BG$4:$BG$53</definedName>
    <definedName name="Subtema" localSheetId="5">INDIRECT(CONCATENATE("ST_",SUBSTITUTE(SUBSTITUTE(DATOS [3]GENERALES!$D$92,",",)," ",)))</definedName>
    <definedName name="Subtema" localSheetId="4">INDIRECT(CONCATENATE("ST_",SUBSTITUTE(SUBSTITUTE(DATOS [3]GENERALES!$D$92,",",)," ",)))</definedName>
    <definedName name="Subtema" localSheetId="6">INDIRECT(CONCATENATE("ST_",SUBSTITUTE(SUBSTITUTE(DATOS [3]GENERALES!$D$92,",",)," ",)))</definedName>
    <definedName name="Subtema" localSheetId="3">INDIRECT(CONCATENATE("ST_",SUBSTITUTE(SUBSTITUTE(DATOS [3]GENERALES!$D$92,",",)," ",)))</definedName>
    <definedName name="Subtema" localSheetId="2">INDIRECT(CONCATENATE("ST_",SUBSTITUTE(SUBSTITUTE(DATOS [3]GENERALES!$D$92,",",)," ",)))</definedName>
    <definedName name="Subtema" localSheetId="8">INDIRECT(CONCATENATE("ST_",SUBSTITUTE(SUBSTITUTE(DATOS [3]GENERALES!$D$92,",",)," ",)))</definedName>
    <definedName name="Subtema" localSheetId="1">INDIRECT(CONCATENATE("ST_",SUBSTITUTE(SUBSTITUTE(DATOS [3]GENERALES!$D$92,",",)," ",)))</definedName>
    <definedName name="Subtema" localSheetId="9">INDIRECT(CONCATENATE("ST_",SUBSTITUTE(SUBSTITUTE(DATOS [3]GENERALES!$D$92,",",)," ",)))</definedName>
    <definedName name="Subtema" localSheetId="10">INDIRECT(CONCATENATE("ST_",SUBSTITUTE(SUBSTITUTE(DATOS [3]GENERALES!$D$92,",",)," ",)))</definedName>
    <definedName name="Subtema">INDIRECT(CONCATENATE("ST_",SUBSTITUTE(SUBSTITUTE(DATOS [3]GENERALES!$D$92,",",)," ",)))</definedName>
    <definedName name="Tipo">[2]Tablas!$F$4:$F$6</definedName>
    <definedName name="TipoEntidad">'[1]Tablas '!$AJ$4:$AJ$5</definedName>
    <definedName name="TipoInversion">[2]Tablas!$BA$4:$BA$7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3" i="14" l="1"/>
  <c r="M14" i="14"/>
  <c r="M15" i="14"/>
  <c r="M16" i="14"/>
  <c r="M17" i="14"/>
  <c r="M18" i="14"/>
  <c r="M19" i="14"/>
  <c r="M20" i="14"/>
  <c r="M21" i="14"/>
  <c r="M22" i="14"/>
  <c r="M23" i="14"/>
  <c r="M24" i="14"/>
  <c r="M25" i="14"/>
  <c r="M26" i="14"/>
  <c r="M27" i="14"/>
  <c r="M12" i="14"/>
  <c r="C40" i="13"/>
  <c r="E40" i="13"/>
  <c r="C23" i="13"/>
  <c r="D23" i="13"/>
  <c r="E23" i="13"/>
  <c r="F23" i="13"/>
  <c r="G23" i="13"/>
  <c r="H23" i="13"/>
  <c r="I23" i="13"/>
  <c r="J23" i="13"/>
  <c r="K23" i="13"/>
  <c r="L23" i="13"/>
  <c r="C43" i="9"/>
  <c r="D43" i="9"/>
  <c r="E43" i="9"/>
  <c r="F43" i="9"/>
  <c r="G43" i="9"/>
  <c r="I43" i="9"/>
  <c r="J43" i="9"/>
  <c r="K43" i="9"/>
  <c r="L43" i="9"/>
  <c r="M43" i="9"/>
  <c r="N47" i="11"/>
  <c r="N50" i="11"/>
  <c r="Q64" i="8"/>
  <c r="Q74" i="8" s="1"/>
  <c r="O64" i="8"/>
  <c r="W42" i="8"/>
  <c r="W31" i="8"/>
  <c r="U31" i="8"/>
  <c r="G34" i="14"/>
  <c r="N39" i="11"/>
  <c r="H39" i="11"/>
  <c r="G30" i="13"/>
  <c r="M13" i="13"/>
  <c r="BA15" i="11"/>
  <c r="BB15" i="11"/>
  <c r="BC15" i="11"/>
  <c r="BD15" i="11"/>
  <c r="BE15" i="11"/>
  <c r="BA16" i="11"/>
  <c r="BB16" i="11"/>
  <c r="BC16" i="11"/>
  <c r="BD16" i="11"/>
  <c r="BE16" i="11"/>
  <c r="BA17" i="11"/>
  <c r="BB17" i="11"/>
  <c r="BC17" i="11"/>
  <c r="BD17" i="11"/>
  <c r="BE17" i="11"/>
  <c r="M11" i="13"/>
  <c r="M12" i="13"/>
  <c r="M14" i="13"/>
  <c r="M15" i="13"/>
  <c r="M16" i="13"/>
  <c r="M17" i="13"/>
  <c r="M18" i="13"/>
  <c r="M19" i="13"/>
  <c r="M20" i="13"/>
  <c r="M21" i="13"/>
  <c r="M22" i="13"/>
  <c r="M10" i="13"/>
  <c r="M23" i="13" s="1"/>
  <c r="BE15" i="9"/>
  <c r="BA14" i="9"/>
  <c r="BF14" i="9" s="1"/>
  <c r="BB14" i="9"/>
  <c r="BC14" i="9"/>
  <c r="BD14" i="9"/>
  <c r="BE14" i="9"/>
  <c r="BA15" i="9"/>
  <c r="BB15" i="9"/>
  <c r="BC15" i="9"/>
  <c r="BD15" i="9"/>
  <c r="N33" i="9"/>
  <c r="H33" i="9"/>
  <c r="O33" i="9" s="1"/>
  <c r="H34" i="9"/>
  <c r="BF15" i="9" l="1"/>
  <c r="BF17" i="11"/>
  <c r="O39" i="11"/>
  <c r="BF16" i="11"/>
  <c r="BF15" i="11"/>
  <c r="Q31" i="8"/>
  <c r="K64" i="8"/>
  <c r="I64" i="8"/>
  <c r="C64" i="8"/>
  <c r="E64" i="8"/>
  <c r="L74" i="8"/>
  <c r="F74" i="8"/>
  <c r="W74" i="8"/>
  <c r="AB64" i="8"/>
  <c r="AB74" i="8" s="1"/>
  <c r="Z64" i="8"/>
  <c r="W64" i="8"/>
  <c r="U64" i="8"/>
  <c r="Q42" i="8"/>
  <c r="AB42" i="8"/>
  <c r="C31" i="8"/>
  <c r="AB31" i="8"/>
  <c r="Z31" i="8"/>
  <c r="I31" i="8"/>
  <c r="O31" i="8"/>
  <c r="E31" i="8"/>
  <c r="K31" i="8"/>
  <c r="L42" i="8"/>
  <c r="F42" i="8"/>
  <c r="R24" i="15" l="1"/>
  <c r="Q24" i="15"/>
  <c r="I24" i="15"/>
  <c r="H24" i="15"/>
  <c r="R16" i="16" l="1"/>
  <c r="I16" i="16"/>
  <c r="R16" i="15"/>
  <c r="I16" i="15"/>
  <c r="L24" i="10"/>
  <c r="K24" i="10"/>
  <c r="J24" i="10"/>
  <c r="E24" i="10"/>
  <c r="F24" i="10"/>
  <c r="D24" i="10"/>
  <c r="N36" i="11" l="1"/>
  <c r="H36" i="11"/>
  <c r="O36" i="11" s="1"/>
  <c r="N32" i="9"/>
  <c r="H32" i="9"/>
  <c r="O32" i="9" s="1"/>
  <c r="G29" i="13"/>
  <c r="Q16" i="16" l="1"/>
  <c r="H16" i="16"/>
  <c r="Q16" i="15"/>
  <c r="H16" i="15"/>
  <c r="BE26" i="11" l="1"/>
  <c r="BE27" i="11"/>
  <c r="BD26" i="11"/>
  <c r="BD27" i="11"/>
  <c r="BC26" i="11"/>
  <c r="BC27" i="11"/>
  <c r="BB26" i="11"/>
  <c r="BB27" i="11"/>
  <c r="BA26" i="11"/>
  <c r="BA27" i="11"/>
  <c r="N48" i="11"/>
  <c r="H48" i="11"/>
  <c r="O48" i="11" s="1"/>
  <c r="H47" i="11"/>
  <c r="O47" i="11" s="1"/>
  <c r="BF26" i="11" l="1"/>
  <c r="BF27" i="11"/>
  <c r="N49" i="11" l="1"/>
  <c r="H49" i="11"/>
  <c r="N46" i="11"/>
  <c r="H46" i="11"/>
  <c r="N45" i="11"/>
  <c r="H45" i="11"/>
  <c r="N44" i="11"/>
  <c r="H44" i="11"/>
  <c r="N43" i="11"/>
  <c r="H43" i="11"/>
  <c r="N42" i="11"/>
  <c r="H42" i="11"/>
  <c r="N41" i="11"/>
  <c r="H41" i="11"/>
  <c r="N40" i="11"/>
  <c r="H40" i="11"/>
  <c r="N38" i="11"/>
  <c r="H38" i="11"/>
  <c r="N37" i="11"/>
  <c r="H37" i="11"/>
  <c r="N35" i="11"/>
  <c r="H35" i="11"/>
  <c r="BE28" i="11"/>
  <c r="BD28" i="11"/>
  <c r="BC28" i="11"/>
  <c r="BB28" i="11"/>
  <c r="BA28" i="11"/>
  <c r="BE25" i="11"/>
  <c r="BD25" i="11"/>
  <c r="BC25" i="11"/>
  <c r="BB25" i="11"/>
  <c r="BA25" i="11"/>
  <c r="BE24" i="11"/>
  <c r="BD24" i="11"/>
  <c r="BC24" i="11"/>
  <c r="BB24" i="11"/>
  <c r="BA24" i="11"/>
  <c r="BE23" i="11"/>
  <c r="BD23" i="11"/>
  <c r="BC23" i="11"/>
  <c r="BB23" i="11"/>
  <c r="BA23" i="11"/>
  <c r="BE22" i="11"/>
  <c r="BD22" i="11"/>
  <c r="BC22" i="11"/>
  <c r="BB22" i="11"/>
  <c r="BA22" i="11"/>
  <c r="BE21" i="11"/>
  <c r="BD21" i="11"/>
  <c r="BC21" i="11"/>
  <c r="BB21" i="11"/>
  <c r="BA21" i="11"/>
  <c r="BE20" i="11"/>
  <c r="BD20" i="11"/>
  <c r="BC20" i="11"/>
  <c r="BB20" i="11"/>
  <c r="BA20" i="11"/>
  <c r="BE19" i="11"/>
  <c r="BD19" i="11"/>
  <c r="BC19" i="11"/>
  <c r="BB19" i="11"/>
  <c r="BA19" i="11"/>
  <c r="BE18" i="11"/>
  <c r="BD18" i="11"/>
  <c r="BC18" i="11"/>
  <c r="BB18" i="11"/>
  <c r="BA18" i="11"/>
  <c r="BE14" i="11"/>
  <c r="BD14" i="11"/>
  <c r="BC14" i="11"/>
  <c r="BB14" i="11"/>
  <c r="BA14" i="11"/>
  <c r="O38" i="11" l="1"/>
  <c r="O45" i="11"/>
  <c r="O42" i="11"/>
  <c r="O43" i="11"/>
  <c r="O37" i="11"/>
  <c r="O44" i="11"/>
  <c r="O35" i="11"/>
  <c r="O40" i="11"/>
  <c r="O46" i="11"/>
  <c r="O41" i="11"/>
  <c r="O49" i="11"/>
  <c r="BB29" i="11"/>
  <c r="BC29" i="11"/>
  <c r="BF14" i="11"/>
  <c r="BD29" i="11"/>
  <c r="BA29" i="11"/>
  <c r="BE29" i="11"/>
  <c r="H50" i="11"/>
  <c r="O50" i="11" s="1"/>
  <c r="BF25" i="11"/>
  <c r="BF28" i="11"/>
  <c r="BF20" i="11"/>
  <c r="BF24" i="11"/>
  <c r="BF18" i="11"/>
  <c r="BF22" i="11"/>
  <c r="BF21" i="11"/>
  <c r="BF19" i="11"/>
  <c r="BF23" i="11"/>
  <c r="BE13" i="9"/>
  <c r="BE16" i="9"/>
  <c r="BE17" i="9"/>
  <c r="BE18" i="9"/>
  <c r="BE19" i="9"/>
  <c r="BE20" i="9"/>
  <c r="BE21" i="9"/>
  <c r="BE22" i="9"/>
  <c r="BE23" i="9"/>
  <c r="BE24" i="9"/>
  <c r="BD13" i="9"/>
  <c r="BD16" i="9"/>
  <c r="BD17" i="9"/>
  <c r="BD18" i="9"/>
  <c r="BD19" i="9"/>
  <c r="BD20" i="9"/>
  <c r="BD21" i="9"/>
  <c r="BD22" i="9"/>
  <c r="BD23" i="9"/>
  <c r="BD24" i="9"/>
  <c r="BC13" i="9"/>
  <c r="BC16" i="9"/>
  <c r="BC17" i="9"/>
  <c r="BC18" i="9"/>
  <c r="BC19" i="9"/>
  <c r="BC20" i="9"/>
  <c r="BC21" i="9"/>
  <c r="BC22" i="9"/>
  <c r="BC23" i="9"/>
  <c r="BC24" i="9"/>
  <c r="BB13" i="9"/>
  <c r="BB16" i="9"/>
  <c r="BB17" i="9"/>
  <c r="BB18" i="9"/>
  <c r="BB19" i="9"/>
  <c r="BB20" i="9"/>
  <c r="BB21" i="9"/>
  <c r="BB22" i="9"/>
  <c r="BB23" i="9"/>
  <c r="BB24" i="9"/>
  <c r="BA13" i="9"/>
  <c r="BA16" i="9"/>
  <c r="BA17" i="9"/>
  <c r="BA18" i="9"/>
  <c r="BA19" i="9"/>
  <c r="BA20" i="9"/>
  <c r="BA21" i="9"/>
  <c r="BA22" i="9"/>
  <c r="BA23" i="9"/>
  <c r="BA24" i="9"/>
  <c r="BA12" i="9"/>
  <c r="BB12" i="9"/>
  <c r="BC12" i="9"/>
  <c r="BD12" i="9"/>
  <c r="BE12" i="9"/>
  <c r="BF22" i="9" l="1"/>
  <c r="BF18" i="9"/>
  <c r="BF23" i="9"/>
  <c r="BF19" i="9"/>
  <c r="BF13" i="9"/>
  <c r="BB25" i="9"/>
  <c r="BF21" i="9"/>
  <c r="BF17" i="9"/>
  <c r="BC25" i="9"/>
  <c r="BE25" i="9"/>
  <c r="BD25" i="9"/>
  <c r="BF24" i="9"/>
  <c r="BF20" i="9"/>
  <c r="BF16" i="9"/>
  <c r="BF12" i="9"/>
  <c r="BF29" i="11"/>
  <c r="BA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AF25" i="9"/>
  <c r="AG25" i="9"/>
  <c r="AH25" i="9"/>
  <c r="AI25" i="9"/>
  <c r="AJ25" i="9"/>
  <c r="AK25" i="9"/>
  <c r="AL25" i="9"/>
  <c r="AM25" i="9"/>
  <c r="AN25" i="9"/>
  <c r="AO25" i="9"/>
  <c r="AP25" i="9"/>
  <c r="AQ25" i="9"/>
  <c r="AR25" i="9"/>
  <c r="AS25" i="9"/>
  <c r="AT25" i="9"/>
  <c r="AU25" i="9"/>
  <c r="AV25" i="9"/>
  <c r="AW25" i="9"/>
  <c r="AX25" i="9"/>
  <c r="AY25" i="9"/>
  <c r="AZ25" i="9"/>
  <c r="C25" i="9" l="1"/>
  <c r="N42" i="9" l="1"/>
  <c r="H42" i="9"/>
  <c r="O42" i="9" s="1"/>
  <c r="H40" i="9"/>
  <c r="N37" i="9"/>
  <c r="N35" i="9"/>
  <c r="N34" i="9"/>
  <c r="O34" i="9" s="1"/>
  <c r="H31" i="9"/>
  <c r="O40" i="9" l="1"/>
  <c r="N39" i="9"/>
  <c r="N31" i="9"/>
  <c r="O31" i="9" s="1"/>
  <c r="H43" i="9"/>
  <c r="H35" i="9"/>
  <c r="O35" i="9" s="1"/>
  <c r="H36" i="9"/>
  <c r="O36" i="9" s="1"/>
  <c r="H39" i="9"/>
  <c r="O39" i="9" s="1"/>
  <c r="N40" i="9"/>
  <c r="N36" i="9"/>
  <c r="N38" i="9"/>
  <c r="H41" i="9"/>
  <c r="N30" i="9"/>
  <c r="H37" i="9"/>
  <c r="O37" i="9" s="1"/>
  <c r="H38" i="9"/>
  <c r="O38" i="9" s="1"/>
  <c r="N41" i="9"/>
  <c r="H30" i="9"/>
  <c r="O30" i="9" s="1"/>
  <c r="N43" i="9"/>
  <c r="O41" i="9" l="1"/>
  <c r="O43" i="9"/>
  <c r="BF25" i="9"/>
  <c r="P61" i="4" l="1"/>
  <c r="Q61" i="4"/>
  <c r="R61" i="4"/>
  <c r="P62" i="4"/>
  <c r="Q62" i="4"/>
  <c r="R62" i="4"/>
  <c r="P48" i="4"/>
  <c r="Q48" i="4"/>
  <c r="R48" i="4"/>
  <c r="P49" i="4"/>
  <c r="Q49" i="4"/>
  <c r="R49" i="4"/>
  <c r="P50" i="4"/>
  <c r="Q50" i="4"/>
  <c r="R50" i="4"/>
  <c r="P51" i="4"/>
  <c r="Q51" i="4"/>
  <c r="R51" i="4"/>
  <c r="P52" i="4"/>
  <c r="Q52" i="4"/>
  <c r="R52" i="4"/>
  <c r="P53" i="4"/>
  <c r="Q53" i="4"/>
  <c r="R53" i="4"/>
  <c r="P54" i="4"/>
  <c r="Q54" i="4"/>
  <c r="R54" i="4"/>
  <c r="P55" i="4"/>
  <c r="Q55" i="4"/>
  <c r="R55" i="4"/>
  <c r="P56" i="4"/>
  <c r="Q56" i="4"/>
  <c r="R56" i="4"/>
  <c r="P57" i="4"/>
  <c r="Q57" i="4"/>
  <c r="R57" i="4"/>
  <c r="P58" i="4"/>
  <c r="Q58" i="4"/>
  <c r="R58" i="4"/>
  <c r="P59" i="4"/>
  <c r="Q59" i="4"/>
  <c r="R59" i="4"/>
  <c r="P60" i="4"/>
  <c r="Q60" i="4"/>
  <c r="R60" i="4"/>
  <c r="Q47" i="4"/>
  <c r="R47" i="4"/>
  <c r="P47" i="4"/>
  <c r="P29" i="4"/>
  <c r="Q29" i="4"/>
  <c r="R29" i="4"/>
  <c r="P30" i="4"/>
  <c r="Q30" i="4"/>
  <c r="R30" i="4"/>
  <c r="P31" i="4"/>
  <c r="Q31" i="4"/>
  <c r="R31" i="4"/>
  <c r="P32" i="4"/>
  <c r="Q32" i="4"/>
  <c r="R32" i="4"/>
  <c r="P33" i="4"/>
  <c r="Q33" i="4"/>
  <c r="R33" i="4"/>
  <c r="P34" i="4"/>
  <c r="Q34" i="4"/>
  <c r="R34" i="4"/>
  <c r="P35" i="4"/>
  <c r="Q35" i="4"/>
  <c r="R35" i="4"/>
  <c r="P36" i="4"/>
  <c r="Q36" i="4"/>
  <c r="R36" i="4"/>
  <c r="P37" i="4"/>
  <c r="Q37" i="4"/>
  <c r="R37" i="4"/>
  <c r="P38" i="4"/>
  <c r="Q38" i="4"/>
  <c r="R38" i="4"/>
  <c r="P39" i="4"/>
  <c r="Q39" i="4"/>
  <c r="R39" i="4"/>
  <c r="P40" i="4"/>
  <c r="Q40" i="4"/>
  <c r="R40" i="4"/>
  <c r="P41" i="4"/>
  <c r="Q41" i="4"/>
  <c r="R41" i="4"/>
  <c r="P42" i="4"/>
  <c r="Q42" i="4"/>
  <c r="R42" i="4"/>
  <c r="P43" i="4"/>
  <c r="Q43" i="4"/>
  <c r="R43" i="4"/>
  <c r="R63" i="4" s="1"/>
  <c r="Q28" i="4"/>
  <c r="R28" i="4"/>
  <c r="P28" i="4"/>
  <c r="P10" i="4"/>
  <c r="Q10" i="4"/>
  <c r="R10" i="4"/>
  <c r="P11" i="4"/>
  <c r="Q11" i="4"/>
  <c r="R11" i="4"/>
  <c r="P12" i="4"/>
  <c r="Q12" i="4"/>
  <c r="R12" i="4"/>
  <c r="P13" i="4"/>
  <c r="Q13" i="4"/>
  <c r="R13" i="4"/>
  <c r="P14" i="4"/>
  <c r="Q14" i="4"/>
  <c r="R14" i="4"/>
  <c r="P15" i="4"/>
  <c r="Q15" i="4"/>
  <c r="R15" i="4"/>
  <c r="P16" i="4"/>
  <c r="Q16" i="4"/>
  <c r="R16" i="4"/>
  <c r="P17" i="4"/>
  <c r="Q17" i="4"/>
  <c r="R17" i="4"/>
  <c r="P18" i="4"/>
  <c r="Q18" i="4"/>
  <c r="R18" i="4"/>
  <c r="P19" i="4"/>
  <c r="Q19" i="4"/>
  <c r="R19" i="4"/>
  <c r="P20" i="4"/>
  <c r="Q20" i="4"/>
  <c r="R20" i="4"/>
  <c r="P21" i="4"/>
  <c r="Q21" i="4"/>
  <c r="R21" i="4"/>
  <c r="P22" i="4"/>
  <c r="Q22" i="4"/>
  <c r="R22" i="4"/>
  <c r="P23" i="4"/>
  <c r="Q23" i="4"/>
  <c r="R23" i="4"/>
  <c r="P24" i="4"/>
  <c r="Q24" i="4"/>
  <c r="R24" i="4"/>
  <c r="Q9" i="4"/>
  <c r="R9" i="4"/>
  <c r="P9" i="4"/>
  <c r="G36" i="13" l="1"/>
  <c r="G35" i="13"/>
  <c r="G38" i="13"/>
  <c r="G28" i="13"/>
  <c r="G33" i="13"/>
  <c r="G39" i="13"/>
  <c r="G32" i="13"/>
  <c r="G34" i="13"/>
  <c r="G31" i="13"/>
  <c r="G37" i="13"/>
  <c r="G27" i="13"/>
  <c r="G40" i="13" l="1"/>
  <c r="G39" i="14"/>
  <c r="G43" i="14"/>
  <c r="G35" i="14"/>
  <c r="G40" i="14"/>
  <c r="G36" i="14"/>
  <c r="G38" i="14"/>
  <c r="G37" i="14"/>
  <c r="G32" i="14"/>
  <c r="G42" i="14"/>
  <c r="G33" i="14"/>
  <c r="G44" i="14"/>
  <c r="G31" i="14"/>
  <c r="G41" i="14"/>
  <c r="G45" i="14"/>
  <c r="G46" i="14" l="1"/>
</calcChain>
</file>

<file path=xl/sharedStrings.xml><?xml version="1.0" encoding="utf-8"?>
<sst xmlns="http://schemas.openxmlformats.org/spreadsheetml/2006/main" count="1158" uniqueCount="240">
  <si>
    <t>PERIODO 1</t>
  </si>
  <si>
    <t>A.1. Personal docente externo</t>
  </si>
  <si>
    <t>A. PERSONAL</t>
  </si>
  <si>
    <t>B.3. Material didáctico, textos y fungibles</t>
  </si>
  <si>
    <t>B.4. Seguros acciones divulgativas</t>
  </si>
  <si>
    <t>B.7. Costes de comunicación</t>
  </si>
  <si>
    <t>B. SERVICIOS Y FUNGIBLES</t>
  </si>
  <si>
    <t>TOTAL COSTES DIRECTOS (A+B)</t>
  </si>
  <si>
    <t>TOTAL COSTES INDIRECTOS (15% C.D.)</t>
  </si>
  <si>
    <t>TOTALES</t>
  </si>
  <si>
    <t>PQ1</t>
  </si>
  <si>
    <t>PERÍODO 2</t>
  </si>
  <si>
    <t>TOTAL</t>
  </si>
  <si>
    <r>
      <t>A.2. Personal docente propio</t>
    </r>
    <r>
      <rPr>
        <sz val="6.5"/>
        <color theme="1"/>
        <rFont val="Arial"/>
        <family val="2"/>
      </rPr>
      <t>1</t>
    </r>
  </si>
  <si>
    <r>
      <t>A.3. Personal de coordinación propio</t>
    </r>
    <r>
      <rPr>
        <sz val="6.5"/>
        <color theme="1"/>
        <rFont val="Arial"/>
        <family val="2"/>
      </rPr>
      <t>1</t>
    </r>
  </si>
  <si>
    <r>
      <t>B.1. Transporte, alojamiento y manutención</t>
    </r>
    <r>
      <rPr>
        <sz val="6.5"/>
        <color theme="1"/>
        <rFont val="Arial"/>
        <family val="2"/>
      </rPr>
      <t>2</t>
    </r>
  </si>
  <si>
    <t>B.2. Entornos virtuales</t>
  </si>
  <si>
    <t>B.5. Auditoría</t>
  </si>
  <si>
    <t>B.6. Alquileres</t>
  </si>
  <si>
    <t>TOTAL, COSTES DIRECTOS (A+B)</t>
  </si>
  <si>
    <t>TOTAL, COSTES INDIRECTOS (15% C.D.)</t>
  </si>
  <si>
    <t>SUBCONTRATACIÓN</t>
  </si>
  <si>
    <t>TOTAL FINAL</t>
  </si>
  <si>
    <t>M1</t>
  </si>
  <si>
    <t>M2</t>
  </si>
  <si>
    <t>M3</t>
  </si>
  <si>
    <t>EURURAL</t>
  </si>
  <si>
    <t>LIMIA</t>
  </si>
  <si>
    <t>DIVA</t>
  </si>
  <si>
    <t>PT1</t>
  </si>
  <si>
    <t>A1, A2, A3 Y A4</t>
  </si>
  <si>
    <t>PT2</t>
  </si>
  <si>
    <t>PT3</t>
  </si>
  <si>
    <t>MIEMBROS</t>
  </si>
  <si>
    <t>PQ2</t>
  </si>
  <si>
    <t>B.SERVICIOS Y FUNGIBLES</t>
  </si>
  <si>
    <t>PQ3</t>
  </si>
  <si>
    <t>TOTAL, FINAL</t>
  </si>
  <si>
    <t>A5, A6, A7 Y A8</t>
  </si>
  <si>
    <t>A9, A10, A11, A12</t>
  </si>
  <si>
    <t>SUBCONTRATACIONES</t>
  </si>
  <si>
    <t>EURURAL M1 PT1</t>
  </si>
  <si>
    <t>LIMIA M2 PT1</t>
  </si>
  <si>
    <t>EURURAL M1 PT2</t>
  </si>
  <si>
    <t>LIMIA M2 PT2</t>
  </si>
  <si>
    <t>LIMIA M2 PT3</t>
  </si>
  <si>
    <t>EURURAL M1 PT3</t>
  </si>
  <si>
    <t>DIVA M3 PT1</t>
  </si>
  <si>
    <t>DIVA M3 PT3</t>
  </si>
  <si>
    <t>DIVA M3 PT2</t>
  </si>
  <si>
    <t>B.1. Transporte, alojamiento y manutención</t>
  </si>
  <si>
    <t>ACTIVIDAD 2</t>
  </si>
  <si>
    <t>TOTALES MIEMBROS PT1</t>
  </si>
  <si>
    <t>ACTIVIDAD 3</t>
  </si>
  <si>
    <t>ACTIVIDAD 4</t>
  </si>
  <si>
    <t>ACTIVIDAD 5</t>
  </si>
  <si>
    <t>ACTIVIDAD 6</t>
  </si>
  <si>
    <t>ACTIVIDAD 7</t>
  </si>
  <si>
    <t>ACTIVIDAD 8</t>
  </si>
  <si>
    <t>ACTIVIDAD 9</t>
  </si>
  <si>
    <t>ACTIVIDAD 10</t>
  </si>
  <si>
    <t>PAQUETES DE ACTIVIDADES</t>
  </si>
  <si>
    <t>TOTALES MIEMBROS PT2</t>
  </si>
  <si>
    <t>TOTALES MIEMBROS PT3</t>
  </si>
  <si>
    <t>MODIFICACIONES P1</t>
  </si>
  <si>
    <t>TOTAL P2</t>
  </si>
  <si>
    <t>P1</t>
  </si>
  <si>
    <t>P2</t>
  </si>
  <si>
    <t>TOTALES POR MIEMBRO</t>
  </si>
  <si>
    <t>MIEMBRO 1</t>
  </si>
  <si>
    <t>MIEMBRO 2</t>
  </si>
  <si>
    <t>MIEMBRO 3</t>
  </si>
  <si>
    <t>ACTIVIDADES</t>
  </si>
  <si>
    <t>Horas Personal DOCENTE EXTERNO (h)</t>
  </si>
  <si>
    <t>Horas Personal COORDINACIÓN PROPIO (h)</t>
  </si>
  <si>
    <r>
      <t>Importe total COORDINACIÓN PROPIO (</t>
    </r>
    <r>
      <rPr>
        <b/>
        <sz val="9"/>
        <color theme="1"/>
        <rFont val="Calibri"/>
        <family val="2"/>
      </rPr>
      <t>€)</t>
    </r>
  </si>
  <si>
    <t>Horas Personal DOCENTE PROPIO (h)</t>
  </si>
  <si>
    <r>
      <t>Importe total DOCENTE  PROPIO (</t>
    </r>
    <r>
      <rPr>
        <b/>
        <sz val="9"/>
        <color theme="1"/>
        <rFont val="Calibri"/>
        <family val="2"/>
      </rPr>
      <t>€)</t>
    </r>
  </si>
  <si>
    <t>1. AGRUPACIONES</t>
  </si>
  <si>
    <t>MIEMBRO 4</t>
  </si>
  <si>
    <t>MIEMBRO 5</t>
  </si>
  <si>
    <t>PARTIDA A.1. PERSONAL DOCENTE EXTERNO</t>
  </si>
  <si>
    <t>Actividad (CÓDIGO)</t>
  </si>
  <si>
    <t>A.1</t>
  </si>
  <si>
    <t>A.2</t>
  </si>
  <si>
    <t>A.3</t>
  </si>
  <si>
    <t>A.4</t>
  </si>
  <si>
    <t>A.5</t>
  </si>
  <si>
    <t>A.6</t>
  </si>
  <si>
    <t>A.7</t>
  </si>
  <si>
    <t>A.8</t>
  </si>
  <si>
    <t>A.9</t>
  </si>
  <si>
    <t>A.10</t>
  </si>
  <si>
    <t>(…)</t>
  </si>
  <si>
    <t>ACTIVIDADES A.XX - A.XX</t>
  </si>
  <si>
    <t>TOTAL P1</t>
  </si>
  <si>
    <t>PRESUPUESTO DESGLOSADO POR ACTIVIDADES Y PARTIDAS DE GASTO. INTERVENCIÓN 7201 (INTERCAMBIO DE CONOCIMIENTOS Y ACTIVIDADES DE FORMACIÓN E INFORMACIÓN)</t>
  </si>
  <si>
    <t>ACTIVIDAD A.1</t>
  </si>
  <si>
    <t>PARTIDA B.1.TRANSPORTE</t>
  </si>
  <si>
    <t>PARTIDA B.1. ALOJAMIENTO</t>
  </si>
  <si>
    <t>Nº PERSONAS</t>
  </si>
  <si>
    <t>PARTIDA A.3. MANUTENCIÓN (DIETAS)</t>
  </si>
  <si>
    <t>ACTIVIDAD (CÓDIGO)</t>
  </si>
  <si>
    <t>COSTE UNITARIO ESTIMADO ALOJAMIENTO</t>
  </si>
  <si>
    <t>IMPORTE TOTAL TRASNPORTE/ACTIVIDAD</t>
  </si>
  <si>
    <t>IMPORTE TOTAL ALOJAMIENTO/ACTIVIDAD</t>
  </si>
  <si>
    <t>COSTE UNITARIO ESTIMADO MANUTENCIÓN</t>
  </si>
  <si>
    <t>IMPORTE TOTAL MANUTENCIÓN/ACTIVIDAD</t>
  </si>
  <si>
    <t>Nº PERSONAS/VIAJES</t>
  </si>
  <si>
    <t>COSTE UNITARIO ESTIMADO TRANSPORTE</t>
  </si>
  <si>
    <t>Nº PERSONAS/HABITACIONES</t>
  </si>
  <si>
    <t>ACTIVIDAD A.2</t>
  </si>
  <si>
    <t>ACTIVIDAD A.3</t>
  </si>
  <si>
    <t>ACTIVIDAD A.4</t>
  </si>
  <si>
    <t>ACTIVIDAD A.5</t>
  </si>
  <si>
    <t>ACTIVIDAD A.6</t>
  </si>
  <si>
    <t>ACTIVIDAD A.7</t>
  </si>
  <si>
    <t>ACTIVIDAD A.8</t>
  </si>
  <si>
    <t>ACTIVIDAD A.9</t>
  </si>
  <si>
    <t>ACTIVIDAD A.10</t>
  </si>
  <si>
    <t>Personas (*)</t>
  </si>
  <si>
    <t>Horas/actividad</t>
  </si>
  <si>
    <t>COSTE UNITARIO  (€/h)</t>
  </si>
  <si>
    <t>C.1. Bienes inventariables</t>
  </si>
  <si>
    <t>C.2. Otras inversiones</t>
  </si>
  <si>
    <t>PRESUPUESTO TOTAL</t>
  </si>
  <si>
    <t>PROVEEDOR</t>
  </si>
  <si>
    <t>Nº de trabajadores previstos</t>
  </si>
  <si>
    <t>PERIODO 2</t>
  </si>
  <si>
    <t>Actividad/s en la/s que participa</t>
  </si>
  <si>
    <t>DOCENTE 1 / TRABAJADOR 1</t>
  </si>
  <si>
    <t>DOCENTE 2 / TRABAJADOR 2</t>
  </si>
  <si>
    <r>
      <t>Importe total DOCENTE EXTERNO / ACTIVIDAD (</t>
    </r>
    <r>
      <rPr>
        <b/>
        <sz val="9"/>
        <color theme="1"/>
        <rFont val="Calibri"/>
        <family val="2"/>
      </rPr>
      <t>€)</t>
    </r>
  </si>
  <si>
    <t>Actividad/es en la/s que participa</t>
  </si>
  <si>
    <t xml:space="preserve">NIF de la entidad representante </t>
  </si>
  <si>
    <t>PROGRAMA TEMÁTICO</t>
  </si>
  <si>
    <t>Nombre de la entidad</t>
  </si>
  <si>
    <t xml:space="preserve">Nombre de la agrupación </t>
  </si>
  <si>
    <t>Nombre de la entidad representante de la agrupación</t>
  </si>
  <si>
    <t>NIF de la entidad</t>
  </si>
  <si>
    <t>(...)</t>
  </si>
  <si>
    <t>DOCENTE 3 / TRABAJADOR 3</t>
  </si>
  <si>
    <t>DOCENTE 4 / TRABAJADOR 4</t>
  </si>
  <si>
    <t>PERIODO 1:</t>
  </si>
  <si>
    <t>PERIODO 2:</t>
  </si>
  <si>
    <t>PRESUPUESTO DESGLOSADO GASTOS DE PERSONAL (PARTIDA A)</t>
  </si>
  <si>
    <t>PRESUPUESTO DESGLOSADO GASTOS TRANSPORTE, ALOJAMIENTO Y MANUTENCIÓN (PARTIDA B)</t>
  </si>
  <si>
    <t>Transporte 
(SI/NO)</t>
  </si>
  <si>
    <t>Alojamiento 
(SI/NO)</t>
  </si>
  <si>
    <t>Manutención 
(SI/NO)</t>
  </si>
  <si>
    <t>Nombre de la agrupación o entidad</t>
  </si>
  <si>
    <t>Nombre del representante de la agrupación o de la entidad</t>
  </si>
  <si>
    <t xml:space="preserve">NIF del representante o de la entidad representante </t>
  </si>
  <si>
    <t>TOTALES (SUMAR Nº DE CELDAS CON "SÍ")</t>
  </si>
  <si>
    <t>RESUMEN ACTIVIDADES CON GASTOS TAM:</t>
  </si>
  <si>
    <r>
      <t xml:space="preserve">BREVE DESCRIPCIÓN DEL GASTO TAM 
</t>
    </r>
    <r>
      <rPr>
        <sz val="8"/>
        <color theme="1"/>
        <rFont val="Calibri"/>
        <family val="2"/>
        <scheme val="minor"/>
      </rPr>
      <t>(HABITACIONES HOTEL INDIVIDUAL, DOBLE, …)</t>
    </r>
  </si>
  <si>
    <r>
      <t xml:space="preserve">BREVE DESCRIPCIÓN DEL GASTO TAM </t>
    </r>
    <r>
      <rPr>
        <sz val="8"/>
        <color theme="1"/>
        <rFont val="Calibri"/>
        <family val="2"/>
        <scheme val="minor"/>
      </rPr>
      <t>(SERVICIO CATERING, MEDIA DIETA, DIETA COMPLETA ...)</t>
    </r>
  </si>
  <si>
    <r>
      <t xml:space="preserve">BREVE DESCRIPCIÓN DEL GASTO TAM 
</t>
    </r>
    <r>
      <rPr>
        <sz val="8"/>
        <color theme="1"/>
        <rFont val="Calibri"/>
        <family val="2"/>
        <scheme val="minor"/>
      </rPr>
      <t>(BILLETES DE AVIÓN, TREN, TAXI, VEHÍCULO PARTICULAR, TRASNPORTE DISCRECIONAL, ...)</t>
    </r>
  </si>
  <si>
    <t>PRESUPUESTO DESGLOSADO DE ENTIDADES CONTRATADAS O SUBCONTRATADAS POR IMPORTE SUPERIOR A 5.000 € (Incluyendo inversiones)</t>
  </si>
  <si>
    <t>Nombre de la agrupación solicitante</t>
  </si>
  <si>
    <t>Nombre del representante de la agrupación solicitante</t>
  </si>
  <si>
    <t>NIF de la entidad representante de la agrupación solicitante</t>
  </si>
  <si>
    <r>
      <rPr>
        <sz val="11"/>
        <color rgb="FFFF0000"/>
        <rFont val="Calibri"/>
        <family val="2"/>
        <scheme val="minor"/>
      </rPr>
      <t xml:space="preserve"> </t>
    </r>
    <r>
      <rPr>
        <sz val="11"/>
        <rFont val="Calibri"/>
        <family val="2"/>
        <scheme val="minor"/>
      </rPr>
      <t>PERIODO 1</t>
    </r>
  </si>
  <si>
    <r>
      <rPr>
        <sz val="11"/>
        <color rgb="FFFF0000"/>
        <rFont val="Calibri"/>
        <family val="2"/>
        <scheme val="minor"/>
      </rPr>
      <t xml:space="preserve"> </t>
    </r>
    <r>
      <rPr>
        <sz val="11"/>
        <rFont val="Calibri"/>
        <family val="2"/>
        <scheme val="minor"/>
      </rPr>
      <t>PERIODO 2</t>
    </r>
  </si>
  <si>
    <t>NOMBRE PROVEEDOR</t>
  </si>
  <si>
    <t>NIF</t>
  </si>
  <si>
    <t>ID ACTIVIDAD</t>
  </si>
  <si>
    <t>PERIODO DE EJECUCIÓN</t>
  </si>
  <si>
    <t>PARTIDA DE GASTO A LA QUE SE IMPUTA EL IMPORTE</t>
  </si>
  <si>
    <t>NOMBRE proveedor</t>
  </si>
  <si>
    <t>….</t>
  </si>
  <si>
    <t>IMPORTE TOTAL</t>
  </si>
  <si>
    <t>Nombre de la entidad solicitante</t>
  </si>
  <si>
    <t>Nombre del representante de la entidad solicitante</t>
  </si>
  <si>
    <t>NIF del representante entidad solicitante</t>
  </si>
  <si>
    <t>(*) Se deberá introducir el importe con IVA cuando la entidad solicitante presente una exención total o parcial, la cual deberá coincidir con el importe imputado en el presupuesto.</t>
  </si>
  <si>
    <r>
      <rPr>
        <b/>
        <sz val="11"/>
        <rFont val="Calibri"/>
        <family val="2"/>
        <scheme val="minor"/>
      </rPr>
      <t>ENTIDAD SOLICITANTE (</t>
    </r>
    <r>
      <rPr>
        <b/>
        <sz val="11"/>
        <color rgb="FFFF0000"/>
        <rFont val="Calibri"/>
        <family val="2"/>
        <scheme val="minor"/>
      </rPr>
      <t>NOMBRE DE LA ENTIDAD</t>
    </r>
    <r>
      <rPr>
        <b/>
        <sz val="11"/>
        <rFont val="Calibri"/>
        <family val="2"/>
        <scheme val="minor"/>
      </rPr>
      <t>)</t>
    </r>
  </si>
  <si>
    <r>
      <rPr>
        <sz val="10"/>
        <color rgb="FFFF0000"/>
        <rFont val="Calibri"/>
        <family val="2"/>
        <scheme val="minor"/>
      </rPr>
      <t xml:space="preserve"> </t>
    </r>
    <r>
      <rPr>
        <sz val="10"/>
        <rFont val="Calibri"/>
        <family val="2"/>
        <scheme val="minor"/>
      </rPr>
      <t>PERIODO 1</t>
    </r>
  </si>
  <si>
    <r>
      <rPr>
        <sz val="10"/>
        <color rgb="FFFF0000"/>
        <rFont val="Calibri"/>
        <family val="2"/>
        <scheme val="minor"/>
      </rPr>
      <t xml:space="preserve"> </t>
    </r>
    <r>
      <rPr>
        <sz val="10"/>
        <rFont val="Calibri"/>
        <family val="2"/>
        <scheme val="minor"/>
      </rPr>
      <t>PERIODO 2</t>
    </r>
  </si>
  <si>
    <t xml:space="preserve">PERIODO DE EJECUCIÓN </t>
  </si>
  <si>
    <t>PARTIDA DE GASTO DEL PRESUPUESTO</t>
  </si>
  <si>
    <t>Cofinanciado al 43% mediante el FONDO EUROPEO AGRARIO DE DESARROLLO RURAL (FEADER).</t>
  </si>
  <si>
    <t>INSTRUCCIONES PARA LA CORRECTA CUMPLIMENTACIÓN DE LAS PESTAÑAS PRESENTES EN EL DOCUMENTO “MEMORIA DE PRESUPUESTO"</t>
  </si>
  <si>
    <t>ENTIDAD SOLICITANTE</t>
  </si>
  <si>
    <t>AGRUPACIÓN SOLICITANTE</t>
  </si>
  <si>
    <t>NOMBRE DE LA ENTIDAD</t>
  </si>
  <si>
    <t>PRESENTA EXENCIÓN DE IVA
(SÍ/NO)</t>
  </si>
  <si>
    <t>TIPO DE EXENCIÓN
 (TOTAL O PARCIAL)</t>
  </si>
  <si>
    <t>NOMBRE DEL MIEMBRO SOLICITANTE</t>
  </si>
  <si>
    <t>Nombre de la entidad /agrupación</t>
  </si>
  <si>
    <t>PRESUPUESTO DESGLOSADO POR MIEMBROS Y PARTIDAS DE GASTO.  INTERVENCIÓN 7201 (INTERCAMBIO DE CONOCIMIENTOS Y ACTIVIDADES DE FORMACIÓN E INFORMACIÓN)</t>
  </si>
  <si>
    <t>Se añadirán tantas tablas como miembros solicitantes asuman este tipo de gasto.</t>
  </si>
  <si>
    <t>DESCRIPCIÓN CONTRATACIÓN/SUBCONTRATACIÓN/INVERSIÓN</t>
  </si>
  <si>
    <t>DESCRIPCIÓN DE LA CONTRATACIÓN/SUBCONTRATACIÓN/INVERSIÓN</t>
  </si>
  <si>
    <t>A.2. Personal de apoyo externo</t>
  </si>
  <si>
    <t>A.3. Personal docente propio</t>
  </si>
  <si>
    <r>
      <t>MIEMBRO 1 AGRUPACIÓN O ENTIDAD SOLICITANTE</t>
    </r>
    <r>
      <rPr>
        <b/>
        <sz val="12"/>
        <color rgb="FFFF0000"/>
        <rFont val="Calibri"/>
        <family val="2"/>
        <scheme val="minor"/>
      </rPr>
      <t xml:space="preserve"> (Indicar el nombre del miembro, en caso de tratarse de una agrupación)</t>
    </r>
  </si>
  <si>
    <t>PARTIDA A.3. PERSONAL DOCENTE PROPIO</t>
  </si>
  <si>
    <t>PARTIDA A.2. PERSONAL DE APOYO EXTERNO</t>
  </si>
  <si>
    <t>Horas Personal APOYO EXTERNO (h)</t>
  </si>
  <si>
    <r>
      <t>Importe total APOYO EXTERNO / ACTIVIDAD (</t>
    </r>
    <r>
      <rPr>
        <b/>
        <sz val="9"/>
        <color theme="1"/>
        <rFont val="Calibri"/>
        <family val="2"/>
      </rPr>
      <t>€)</t>
    </r>
  </si>
  <si>
    <t>APOYO 1 / TRABAJADOR 1</t>
  </si>
  <si>
    <t>APOYO 2 / TRABAJADOR 2</t>
  </si>
  <si>
    <t>APOYO 3 / TRABAJADOR 3</t>
  </si>
  <si>
    <t>APOYO 4 / TRABAJADOR 4</t>
  </si>
  <si>
    <t>COSTE UNITARIO SIMPLIFICADO   (€/h)</t>
  </si>
  <si>
    <r>
      <t xml:space="preserve">MIEMBRO 1 AGRUPACIÓN O ENTIDAD SOLICITANTE </t>
    </r>
    <r>
      <rPr>
        <b/>
        <sz val="12"/>
        <color rgb="FFFF0000"/>
        <rFont val="Calibri"/>
        <family val="2"/>
        <scheme val="minor"/>
      </rPr>
      <t>(Indicar el nombre del miembro, en caso de tratarse de una agrupación)</t>
    </r>
  </si>
  <si>
    <t>COSTE TOTAL 
(sin IVA)</t>
  </si>
  <si>
    <t>(*) IMPORTE IMPUTADO EN EL PRESUPUESTO</t>
  </si>
  <si>
    <t>(*) Relación de trabajadores incluidos en el Modelo de relación de personal. El total de horas/trabajador debe coincidir con lo indicado en dicho modelo.</t>
  </si>
  <si>
    <t xml:space="preserve"> Total horas del TRABAJADOR/DOCENTE EXT por ACTIVIDAD</t>
  </si>
  <si>
    <t>(*)Horas Personal DOCENTE EXTERNO (h)</t>
  </si>
  <si>
    <t>(*)El total de horas para una determinada actividad (A.1, A.2…)deberá ser coincidente con el total de horas que resulte del desglose de personal de la tabla inferior para la misma actividad</t>
  </si>
  <si>
    <t xml:space="preserve"> Total horas del TRABAJADOR /APOYO EXT por ACTIVIDAD</t>
  </si>
  <si>
    <t xml:space="preserve"> Total horas del TRABAJADOR/DOCENTE PROPIO por ACTIVIDAD</t>
  </si>
  <si>
    <t>COORDINACIÓN 1 / TRABAJADOR 1</t>
  </si>
  <si>
    <t>COORDINACIÓN 2 / TRABAJADOR 2</t>
  </si>
  <si>
    <t>COORDINACIÓN 3 / TRABAJADOR 3</t>
  </si>
  <si>
    <t>COORDINACIÓN 4 / TRABAJADOR 4</t>
  </si>
  <si>
    <t xml:space="preserve"> Total horas  de COORDINACIÓN/TRABAJADOR PROPIO por ACTIVIDAD</t>
  </si>
  <si>
    <r>
      <t xml:space="preserve">MIEMBRO 2 AGRUPACIÓN </t>
    </r>
    <r>
      <rPr>
        <b/>
        <sz val="12"/>
        <color rgb="FFFF0000"/>
        <rFont val="Calibri"/>
        <family val="2"/>
        <scheme val="minor"/>
      </rPr>
      <t>(Indicar el nombre del miembro)</t>
    </r>
  </si>
  <si>
    <t>Deberán tenerse en cuenta los límites establecidos en la convocatoria para los costes unitarios (€/h) de personal en cada caso</t>
  </si>
  <si>
    <t>IMPORTE TOTAL TRANSPORTE/ACTIVIDAD</t>
  </si>
  <si>
    <t>* En el caso de contratación de servicios, se indicará el coste unitario (1 ud del servicio de transporte contratado) y a continuación se incluirá el importe total del servicio.</t>
  </si>
  <si>
    <r>
      <t xml:space="preserve">MIEMBRO X AGRUPACIÓN </t>
    </r>
    <r>
      <rPr>
        <b/>
        <sz val="12"/>
        <color rgb="FFFF0000"/>
        <rFont val="Calibri"/>
        <family val="2"/>
        <scheme val="minor"/>
      </rPr>
      <t>(Indicar el nombre del miembro)</t>
    </r>
  </si>
  <si>
    <r>
      <t xml:space="preserve">MIEMBRO 1 AGRUPACIÓN SOLICITANTE </t>
    </r>
    <r>
      <rPr>
        <b/>
        <sz val="11"/>
        <color rgb="FFFF0000"/>
        <rFont val="Calibri"/>
        <family val="2"/>
        <scheme val="minor"/>
      </rPr>
      <t>(Indicar el nombre del miembro)</t>
    </r>
  </si>
  <si>
    <r>
      <t xml:space="preserve">MIEMBRO 2 AGRUPACIÓN </t>
    </r>
    <r>
      <rPr>
        <b/>
        <sz val="11"/>
        <color rgb="FFFF0000"/>
        <rFont val="Calibri"/>
        <family val="2"/>
        <scheme val="minor"/>
      </rPr>
      <t>(Indicar el nombre del miembro)</t>
    </r>
  </si>
  <si>
    <r>
      <t xml:space="preserve">MIEMBRO X AGRUPACIÓN </t>
    </r>
    <r>
      <rPr>
        <b/>
        <sz val="11"/>
        <color rgb="FFFF0000"/>
        <rFont val="Calibri"/>
        <family val="2"/>
        <scheme val="minor"/>
      </rPr>
      <t>(Indicar el nombre del miembro)</t>
    </r>
  </si>
  <si>
    <t>Repetir las tablas incluidas en las filas 10 a 54, según sea necesario, en el caso de que varios miembros de la agrupación imputen  gastos TAM</t>
  </si>
  <si>
    <t>PARTIDA B.1 MANUTENCIÓN (DIETAS)</t>
  </si>
  <si>
    <t>A.5. Personal de coordinación propio</t>
  </si>
  <si>
    <t>A.4. Personal de apoyo propio</t>
  </si>
  <si>
    <t>2. ENTIDAD</t>
  </si>
  <si>
    <t>PARTIDA A.5. PERSONAL DE COORDINACIÓN PROPIO</t>
  </si>
  <si>
    <t>PARTIDA A.4. PERSONAL DE APOYO PROPIO</t>
  </si>
  <si>
    <t xml:space="preserve"> Total horas del TRABAJADOR/APOYO PROPIO por ACTIVIDAD</t>
  </si>
  <si>
    <r>
      <t>Importe total AYUDA PROPIO (</t>
    </r>
    <r>
      <rPr>
        <b/>
        <sz val="9"/>
        <color theme="1"/>
        <rFont val="Calibri"/>
        <family val="2"/>
      </rPr>
      <t>€)</t>
    </r>
  </si>
  <si>
    <r>
      <rPr>
        <b/>
        <u/>
        <sz val="13"/>
        <color theme="1"/>
        <rFont val="Arial"/>
        <family val="2"/>
      </rPr>
      <t xml:space="preserve">
- PESTAÑA "EXENCIÓN IVA" </t>
    </r>
    <r>
      <rPr>
        <sz val="13"/>
        <color theme="1"/>
        <rFont val="Arial"/>
        <family val="2"/>
      </rPr>
      <t>Para cumplimentar dicha pestaña, se presentan dos tablas en función del tipo de solicitante. Deberá completarse únicamente la tabla correspondiente a la petición de la propuesta y eliminar aquella que no se vaya a utilizar, con el fin de evitar posibles errores. En dicha tabla deberán incluirse las entidades que presenten exención de IVA, indicando el tipo de exención que corresponda.</t>
    </r>
    <r>
      <rPr>
        <b/>
        <sz val="13"/>
        <color theme="1"/>
        <rFont val="Arial"/>
        <family val="2"/>
      </rPr>
      <t xml:space="preserve">
- </t>
    </r>
    <r>
      <rPr>
        <sz val="13"/>
        <color theme="1"/>
        <rFont val="Arial"/>
        <family val="2"/>
      </rPr>
      <t xml:space="preserve">Según el tipo de solicitante, deberá cumplimentarse la pestaña denominada </t>
    </r>
    <r>
      <rPr>
        <b/>
        <u/>
        <sz val="13"/>
        <color theme="1"/>
        <rFont val="Arial"/>
        <family val="2"/>
      </rPr>
      <t>“DESGL PRESUP”</t>
    </r>
    <r>
      <rPr>
        <b/>
        <sz val="13"/>
        <color theme="1"/>
        <rFont val="Arial"/>
        <family val="2"/>
      </rPr>
      <t xml:space="preserve">. </t>
    </r>
    <r>
      <rPr>
        <sz val="13"/>
        <color theme="1"/>
        <rFont val="Arial"/>
        <family val="2"/>
      </rPr>
      <t>En ella se deberán detallar, para cada programa temático seleccionado, las actividades que se ejecutarán en la solicitud, los gastos imputados asociados y las partidas correspondientes.
En el caso de agrupaciones, deberán completarse las tablas indicando los gastos correspondientes a cada miembro solicitante, siguiendo la estructura establecida</t>
    </r>
    <r>
      <rPr>
        <b/>
        <sz val="13"/>
        <color theme="1"/>
        <rFont val="Arial"/>
        <family val="2"/>
      </rPr>
      <t>.</t>
    </r>
    <r>
      <rPr>
        <sz val="13"/>
        <color theme="1"/>
        <rFont val="Arial"/>
        <family val="2"/>
      </rPr>
      <t xml:space="preserve">
- En la pestaña </t>
    </r>
    <r>
      <rPr>
        <b/>
        <u/>
        <sz val="13"/>
        <color theme="1"/>
        <rFont val="Arial"/>
        <family val="2"/>
      </rPr>
      <t>“Gastos de personal P.X.”</t>
    </r>
    <r>
      <rPr>
        <sz val="13"/>
        <color theme="1"/>
        <rFont val="Arial"/>
        <family val="2"/>
      </rPr>
      <t xml:space="preserve">, deberán incluirse los distintos tipos de personal contemplados en la propuesta, especificando los datos recogidos en las tablas que se presentan en dicha pestaña. Si el tipo de solicitante fuera una entidad, se adaptarán las pestañas según el caso y se añadirán tantas tablas como solicitantes correspondan.
- En la pestaña </t>
    </r>
    <r>
      <rPr>
        <b/>
        <u/>
        <sz val="13"/>
        <color theme="1"/>
        <rFont val="Arial"/>
        <family val="2"/>
      </rPr>
      <t>“Gastos TAM”,</t>
    </r>
    <r>
      <rPr>
        <sz val="13"/>
        <color theme="1"/>
        <rFont val="Arial"/>
        <family val="2"/>
      </rPr>
      <t xml:space="preserve"> se procederá del mismo modo: según el tipo de solicitante, deberán cumplimentarse las actividades con el código correspondiente y una breve descripción de las mismas.
- Con respecto a la pestaña de </t>
    </r>
    <r>
      <rPr>
        <b/>
        <u/>
        <sz val="13"/>
        <color theme="1"/>
        <rFont val="Arial"/>
        <family val="2"/>
      </rPr>
      <t>“PROVEEDORES-ENTIDAD y PROVEEDORES AGRUPACIÓN”</t>
    </r>
    <r>
      <rPr>
        <sz val="13"/>
        <color theme="1"/>
        <rFont val="Arial"/>
        <family val="2"/>
      </rPr>
      <t xml:space="preserve">, deberán incluirse aquellos proveedores cuyo importe total de gasto supere los 5.000 euros, tanto en subcontrataciones como en contrataciones e inversiones. Se deberá indicar la partida presupuestaria en la que se imputa el gasto, identificar el proveedor seleccionado y, en el caso de agrupaciones, especificar el miembro solicitante que asumirá dicho gasto. Asimismo, deberá indicarse el período de ejecución y la actividad con la que se asocia dicho gasto.
- </t>
    </r>
    <r>
      <rPr>
        <b/>
        <sz val="13"/>
        <color rgb="FFFF0000"/>
        <rFont val="Arial"/>
        <family val="2"/>
      </rPr>
      <t>Las tablas o la información contenida en las pestañas que no resulten aplicables a la propuesta o al tipo de solicitante seleccionado podrán ser modificadas o eliminadas según corresponda.</t>
    </r>
  </si>
  <si>
    <t>Importe total AYUDA PROPIO (€)</t>
  </si>
  <si>
    <t xml:space="preserve">C.1. Bienes inventariables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</si>
</sst>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0.00\ &quot;€&quot;;[Red]\-#,##0.00\ &quot;€&quot;"/>
    <numFmt numFmtId="164" formatCode="#,##0.00\ &quot;€&quot;"/>
  </numFmts>
  <fonts count="47" x14ac:knownFonts="1">
    <font>
      <sz val="11"/>
      <color theme="1"/>
      <name val="Calibri"/>
      <family val="2"/>
      <scheme val="minor"/>
    </font>
    <font>
      <b/>
      <sz val="11"/>
      <color theme="1"/>
      <name val="Calibri"/>
      <family val="2"/>
      <scheme val="minor"/>
    </font>
    <font>
      <sz val="10"/>
      <name val="Arial"/>
      <family val="2"/>
    </font>
    <font>
      <b/>
      <sz val="12"/>
      <color theme="0"/>
      <name val="Arial"/>
      <family val="2"/>
    </font>
    <font>
      <sz val="10"/>
      <color theme="1"/>
      <name val="Arial"/>
      <family val="2"/>
    </font>
    <font>
      <b/>
      <sz val="10"/>
      <color theme="1"/>
      <name val="Arial"/>
      <family val="2"/>
    </font>
    <font>
      <sz val="10"/>
      <color theme="1"/>
      <name val="Times New Roman"/>
      <family val="1"/>
    </font>
    <font>
      <sz val="6.5"/>
      <color theme="1"/>
      <name val="Arial"/>
      <family val="2"/>
    </font>
    <font>
      <sz val="10"/>
      <color rgb="FF0C0C0C"/>
      <name val="Arial"/>
      <family val="2"/>
    </font>
    <font>
      <b/>
      <sz val="10"/>
      <color rgb="FF0C0C0C"/>
      <name val="Arial"/>
      <family val="2"/>
    </font>
    <font>
      <b/>
      <sz val="9"/>
      <color theme="1"/>
      <name val="Calibri"/>
      <family val="2"/>
      <scheme val="minor"/>
    </font>
    <font>
      <sz val="9"/>
      <color theme="1"/>
      <name val="Calibri"/>
      <family val="2"/>
      <scheme val="minor"/>
    </font>
    <font>
      <sz val="10"/>
      <color theme="1"/>
      <name val="Calibri"/>
      <family val="2"/>
      <scheme val="minor"/>
    </font>
    <font>
      <b/>
      <sz val="10"/>
      <name val="Calibri"/>
      <family val="2"/>
    </font>
    <font>
      <sz val="10"/>
      <name val="Calibri"/>
      <family val="2"/>
    </font>
    <font>
      <b/>
      <sz val="9"/>
      <color theme="1"/>
      <name val="Calibri"/>
      <family val="2"/>
    </font>
    <font>
      <b/>
      <sz val="12"/>
      <color theme="1"/>
      <name val="Calibri"/>
      <family val="2"/>
      <scheme val="minor"/>
    </font>
    <font>
      <b/>
      <sz val="12"/>
      <name val="Calibri"/>
      <family val="2"/>
      <scheme val="minor"/>
    </font>
    <font>
      <b/>
      <sz val="9"/>
      <name val="Calibri"/>
      <family val="2"/>
    </font>
    <font>
      <sz val="9"/>
      <name val="Calibri"/>
      <family val="2"/>
    </font>
    <font>
      <sz val="9"/>
      <name val="Calibri"/>
      <family val="2"/>
      <scheme val="minor"/>
    </font>
    <font>
      <b/>
      <sz val="12"/>
      <color theme="0"/>
      <name val="Calibri"/>
      <family val="2"/>
      <scheme val="minor"/>
    </font>
    <font>
      <sz val="11"/>
      <color rgb="FF000000"/>
      <name val="Calibri"/>
      <family val="2"/>
      <scheme val="minor"/>
    </font>
    <font>
      <b/>
      <u/>
      <sz val="11"/>
      <color theme="1"/>
      <name val="Calibri"/>
      <family val="2"/>
      <scheme val="minor"/>
    </font>
    <font>
      <sz val="8"/>
      <color theme="1"/>
      <name val="Calibri"/>
      <family val="2"/>
      <scheme val="minor"/>
    </font>
    <font>
      <sz val="9"/>
      <color theme="4" tint="-0.249977111117893"/>
      <name val="Calibri"/>
      <family val="2"/>
      <scheme val="minor"/>
    </font>
    <font>
      <sz val="11"/>
      <color theme="1"/>
      <name val="Calibri"/>
      <family val="2"/>
      <scheme val="minor"/>
    </font>
    <font>
      <sz val="11"/>
      <color rgb="FFFF0000"/>
      <name val="Calibri"/>
      <family val="2"/>
      <scheme val="minor"/>
    </font>
    <font>
      <sz val="11"/>
      <name val="Calibri"/>
      <family val="2"/>
      <scheme val="minor"/>
    </font>
    <font>
      <i/>
      <sz val="11"/>
      <color theme="1"/>
      <name val="Calibri"/>
      <family val="2"/>
      <scheme val="minor"/>
    </font>
    <font>
      <b/>
      <sz val="11"/>
      <color rgb="FFFF0000"/>
      <name val="Calibri"/>
      <family val="2"/>
      <scheme val="minor"/>
    </font>
    <font>
      <i/>
      <sz val="11"/>
      <name val="Calibri"/>
      <family val="2"/>
      <scheme val="minor"/>
    </font>
    <font>
      <b/>
      <sz val="11"/>
      <name val="Calibri"/>
      <family val="2"/>
      <scheme val="minor"/>
    </font>
    <font>
      <sz val="10"/>
      <name val="Calibri"/>
      <family val="2"/>
      <scheme val="minor"/>
    </font>
    <font>
      <sz val="10"/>
      <color rgb="FFFF0000"/>
      <name val="Calibri"/>
      <family val="2"/>
      <scheme val="minor"/>
    </font>
    <font>
      <b/>
      <sz val="11"/>
      <color theme="1"/>
      <name val="Arial"/>
      <family val="2"/>
    </font>
    <font>
      <b/>
      <sz val="18"/>
      <color rgb="FF44546A"/>
      <name val="Arial"/>
      <family val="2"/>
    </font>
    <font>
      <b/>
      <sz val="13"/>
      <color theme="1"/>
      <name val="Arial"/>
      <family val="2"/>
    </font>
    <font>
      <b/>
      <u/>
      <sz val="13"/>
      <color theme="1"/>
      <name val="Arial"/>
      <family val="2"/>
    </font>
    <font>
      <sz val="13"/>
      <color theme="1"/>
      <name val="Arial"/>
      <family val="2"/>
    </font>
    <font>
      <sz val="11"/>
      <name val="Calibri"/>
      <family val="2"/>
    </font>
    <font>
      <sz val="11"/>
      <color theme="1"/>
      <name val="Arial"/>
      <family val="2"/>
    </font>
    <font>
      <sz val="11"/>
      <color theme="1"/>
      <name val="Calibri"/>
      <family val="2"/>
    </font>
    <font>
      <b/>
      <sz val="13"/>
      <color rgb="FFFF0000"/>
      <name val="Arial"/>
      <family val="2"/>
    </font>
    <font>
      <b/>
      <sz val="12"/>
      <color rgb="FFFF0000"/>
      <name val="Calibri"/>
      <family val="2"/>
      <scheme val="minor"/>
    </font>
    <font>
      <b/>
      <sz val="10"/>
      <color theme="1"/>
      <name val="Calibri"/>
      <family val="2"/>
      <scheme val="minor"/>
    </font>
    <font>
      <b/>
      <i/>
      <sz val="10"/>
      <color rgb="FFFF0000"/>
      <name val="Calibri"/>
      <family val="2"/>
      <scheme val="minor"/>
    </font>
  </fonts>
  <fills count="2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EEAF6"/>
        <bgColor indexed="64"/>
      </patternFill>
    </fill>
    <fill>
      <patternFill patternType="solid">
        <fgColor rgb="FFDDEBF7"/>
        <bgColor indexed="64"/>
      </patternFill>
    </fill>
    <fill>
      <patternFill patternType="solid">
        <fgColor rgb="FFFBE3D5"/>
        <bgColor indexed="64"/>
      </patternFill>
    </fill>
    <fill>
      <patternFill patternType="solid">
        <fgColor rgb="FFFAE3D4"/>
        <bgColor indexed="64"/>
      </patternFill>
    </fill>
    <fill>
      <patternFill patternType="solid">
        <fgColor rgb="FFBEBEBE"/>
        <bgColor indexed="64"/>
      </patternFill>
    </fill>
    <fill>
      <patternFill patternType="solid">
        <fgColor rgb="FFDDE9F6"/>
        <bgColor indexed="64"/>
      </patternFill>
    </fill>
    <fill>
      <patternFill patternType="solid">
        <fgColor rgb="FFDDEBF6"/>
        <bgColor indexed="64"/>
      </patternFill>
    </fill>
    <fill>
      <patternFill patternType="solid">
        <fgColor rgb="FFFBE4D6"/>
        <bgColor indexed="64"/>
      </patternFill>
    </fill>
    <fill>
      <patternFill patternType="solid">
        <fgColor rgb="FFFBE4D4"/>
        <bgColor indexed="64"/>
      </patternFill>
    </fill>
    <fill>
      <patternFill patternType="solid">
        <fgColor rgb="FFD8D8D8"/>
        <bgColor indexed="64"/>
      </patternFill>
    </fill>
    <fill>
      <patternFill patternType="solid">
        <fgColor rgb="FFCFCDCD"/>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00808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2" tint="-9.9978637043366805E-2"/>
        <bgColor rgb="FF000000"/>
      </patternFill>
    </fill>
    <fill>
      <patternFill patternType="solid">
        <fgColor rgb="FFF1EEBB"/>
        <bgColor indexed="64"/>
      </patternFill>
    </fill>
    <fill>
      <patternFill patternType="solid">
        <fgColor theme="5" tint="0.79998168889431442"/>
        <bgColor rgb="FFFF0000"/>
      </patternFill>
    </fill>
    <fill>
      <patternFill patternType="solid">
        <fgColor theme="5" tint="0.79998168889431442"/>
        <bgColor indexed="64"/>
      </patternFill>
    </fill>
    <fill>
      <patternFill patternType="solid">
        <fgColor theme="0"/>
        <bgColor theme="0"/>
      </patternFill>
    </fill>
    <fill>
      <patternFill patternType="solid">
        <fgColor theme="7" tint="0.79998168889431442"/>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style="thin">
        <color rgb="FF000000"/>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indexed="64"/>
      </right>
      <top style="thin">
        <color rgb="FF000000"/>
      </top>
      <bottom/>
      <diagonal/>
    </border>
  </borders>
  <cellStyleXfs count="2">
    <xf numFmtId="0" fontId="0" fillId="0" borderId="0"/>
    <xf numFmtId="0" fontId="2" fillId="0" borderId="0"/>
  </cellStyleXfs>
  <cellXfs count="266">
    <xf numFmtId="0" fontId="0" fillId="0" borderId="0" xfId="0"/>
    <xf numFmtId="0" fontId="6" fillId="5" borderId="5" xfId="0" applyFont="1" applyFill="1" applyBorder="1" applyAlignment="1">
      <alignment horizontal="left" vertical="center" wrapText="1"/>
    </xf>
    <xf numFmtId="0" fontId="6" fillId="5" borderId="8" xfId="0" applyFont="1" applyFill="1" applyBorder="1" applyAlignment="1">
      <alignment horizontal="left" vertical="center" wrapText="1"/>
    </xf>
    <xf numFmtId="0" fontId="5" fillId="5" borderId="9" xfId="0" applyFont="1" applyFill="1" applyBorder="1" applyAlignment="1">
      <alignment horizontal="center" vertical="center" wrapText="1"/>
    </xf>
    <xf numFmtId="0" fontId="4" fillId="0" borderId="8" xfId="0" applyFont="1" applyBorder="1" applyAlignment="1">
      <alignment horizontal="left" vertical="center" wrapText="1"/>
    </xf>
    <xf numFmtId="4" fontId="4" fillId="0" borderId="9" xfId="0" applyNumberFormat="1" applyFont="1" applyBorder="1" applyAlignment="1">
      <alignment horizontal="center" vertical="center" wrapText="1"/>
    </xf>
    <xf numFmtId="0" fontId="5" fillId="6" borderId="8" xfId="0" applyFont="1" applyFill="1" applyBorder="1" applyAlignment="1">
      <alignment horizontal="left" vertical="center" wrapText="1"/>
    </xf>
    <xf numFmtId="4" fontId="5" fillId="6" borderId="9" xfId="0" applyNumberFormat="1" applyFont="1" applyFill="1" applyBorder="1" applyAlignment="1">
      <alignment horizontal="center" vertical="center" wrapText="1"/>
    </xf>
    <xf numFmtId="0" fontId="5" fillId="7" borderId="8" xfId="0" applyFont="1" applyFill="1" applyBorder="1" applyAlignment="1">
      <alignment horizontal="left" vertical="center" wrapText="1"/>
    </xf>
    <xf numFmtId="4" fontId="4" fillId="8" borderId="9" xfId="0" applyNumberFormat="1" applyFont="1" applyFill="1" applyBorder="1" applyAlignment="1">
      <alignment horizontal="center" vertical="center" wrapText="1"/>
    </xf>
    <xf numFmtId="0" fontId="5" fillId="9" borderId="8" xfId="0" applyFont="1" applyFill="1" applyBorder="1" applyAlignment="1">
      <alignment horizontal="left" vertical="center" wrapText="1"/>
    </xf>
    <xf numFmtId="4" fontId="5" fillId="9" borderId="9" xfId="0" applyNumberFormat="1" applyFont="1" applyFill="1" applyBorder="1" applyAlignment="1">
      <alignment horizontal="center" vertical="center" wrapText="1"/>
    </xf>
    <xf numFmtId="0" fontId="6" fillId="10" borderId="5" xfId="0" applyFont="1" applyFill="1" applyBorder="1" applyAlignment="1">
      <alignment horizontal="left" vertical="center" wrapText="1"/>
    </xf>
    <xf numFmtId="0" fontId="5" fillId="10" borderId="7" xfId="0" applyFont="1" applyFill="1" applyBorder="1" applyAlignment="1">
      <alignment horizontal="center" vertical="center" wrapText="1"/>
    </xf>
    <xf numFmtId="0" fontId="6" fillId="10" borderId="8" xfId="0" applyFont="1" applyFill="1" applyBorder="1" applyAlignment="1">
      <alignment horizontal="left" vertical="center" wrapText="1"/>
    </xf>
    <xf numFmtId="0" fontId="5" fillId="10" borderId="9" xfId="0" applyFont="1" applyFill="1" applyBorder="1" applyAlignment="1">
      <alignment horizontal="center" vertical="center" wrapText="1"/>
    </xf>
    <xf numFmtId="0" fontId="5" fillId="11" borderId="8" xfId="0" applyFont="1" applyFill="1" applyBorder="1" applyAlignment="1">
      <alignment horizontal="left" vertical="center" wrapText="1"/>
    </xf>
    <xf numFmtId="4" fontId="5" fillId="11" borderId="9" xfId="0" applyNumberFormat="1" applyFont="1" applyFill="1" applyBorder="1" applyAlignment="1">
      <alignment horizontal="center" vertical="center" wrapText="1"/>
    </xf>
    <xf numFmtId="0" fontId="5" fillId="12" borderId="8" xfId="0" applyFont="1" applyFill="1" applyBorder="1" applyAlignment="1">
      <alignment horizontal="left" vertical="center" wrapText="1"/>
    </xf>
    <xf numFmtId="0" fontId="5" fillId="14" borderId="8" xfId="0" applyFont="1" applyFill="1" applyBorder="1" applyAlignment="1">
      <alignment horizontal="left" vertical="center" wrapText="1"/>
    </xf>
    <xf numFmtId="4" fontId="5" fillId="14" borderId="9" xfId="0" applyNumberFormat="1" applyFont="1" applyFill="1" applyBorder="1" applyAlignment="1">
      <alignment horizontal="center" vertical="center" wrapText="1"/>
    </xf>
    <xf numFmtId="4" fontId="9" fillId="11" borderId="9" xfId="0" applyNumberFormat="1" applyFont="1" applyFill="1" applyBorder="1" applyAlignment="1">
      <alignment horizontal="center" vertical="center" wrapText="1"/>
    </xf>
    <xf numFmtId="4" fontId="5" fillId="15" borderId="9" xfId="0" applyNumberFormat="1" applyFont="1" applyFill="1" applyBorder="1" applyAlignment="1">
      <alignment horizontal="center" vertical="center" wrapText="1"/>
    </xf>
    <xf numFmtId="4" fontId="5" fillId="13" borderId="9" xfId="0" applyNumberFormat="1" applyFont="1" applyFill="1" applyBorder="1" applyAlignment="1">
      <alignment horizontal="center" vertical="center" wrapText="1"/>
    </xf>
    <xf numFmtId="0" fontId="5" fillId="10" borderId="10"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1" borderId="11" xfId="0" applyFont="1" applyFill="1" applyBorder="1" applyAlignment="1">
      <alignment horizontal="left" vertical="center" wrapText="1"/>
    </xf>
    <xf numFmtId="0" fontId="5" fillId="12" borderId="9" xfId="0" applyFont="1" applyFill="1" applyBorder="1" applyAlignment="1">
      <alignment horizontal="left" vertical="center" wrapText="1"/>
    </xf>
    <xf numFmtId="4" fontId="4" fillId="13" borderId="9" xfId="0" applyNumberFormat="1" applyFont="1" applyFill="1" applyBorder="1" applyAlignment="1">
      <alignment horizontal="center" vertical="center" wrapText="1"/>
    </xf>
    <xf numFmtId="4" fontId="5" fillId="11" borderId="5" xfId="0" applyNumberFormat="1" applyFont="1" applyFill="1" applyBorder="1" applyAlignment="1">
      <alignment horizontal="center" vertical="center" wrapText="1"/>
    </xf>
    <xf numFmtId="4" fontId="8" fillId="0" borderId="9" xfId="0" applyNumberFormat="1" applyFont="1" applyBorder="1" applyAlignment="1">
      <alignment horizontal="center" vertical="center" wrapText="1"/>
    </xf>
    <xf numFmtId="4" fontId="5" fillId="12" borderId="9" xfId="0" applyNumberFormat="1" applyFont="1" applyFill="1" applyBorder="1" applyAlignment="1">
      <alignment horizontal="center" vertical="center" wrapText="1"/>
    </xf>
    <xf numFmtId="0" fontId="1" fillId="0" borderId="0" xfId="0" applyFont="1" applyAlignment="1">
      <alignment vertical="center"/>
    </xf>
    <xf numFmtId="0" fontId="0" fillId="0" borderId="0" xfId="0" applyAlignment="1">
      <alignment vertical="center"/>
    </xf>
    <xf numFmtId="4" fontId="0" fillId="0" borderId="0" xfId="0" applyNumberFormat="1" applyAlignment="1">
      <alignment horizontal="center" vertical="center"/>
    </xf>
    <xf numFmtId="4" fontId="1" fillId="0" borderId="0" xfId="0" applyNumberFormat="1" applyFont="1" applyAlignment="1">
      <alignment horizontal="center" vertical="center"/>
    </xf>
    <xf numFmtId="0" fontId="5" fillId="10" borderId="9" xfId="0" applyFont="1" applyFill="1" applyBorder="1" applyAlignment="1">
      <alignment horizontal="left" vertical="center" wrapText="1"/>
    </xf>
    <xf numFmtId="4" fontId="5" fillId="14" borderId="5" xfId="0" applyNumberFormat="1" applyFont="1" applyFill="1" applyBorder="1" applyAlignment="1">
      <alignment horizontal="center" vertical="center" wrapText="1"/>
    </xf>
    <xf numFmtId="4" fontId="0" fillId="4" borderId="0" xfId="0" applyNumberFormat="1" applyFill="1" applyAlignment="1">
      <alignment horizontal="center" vertical="center"/>
    </xf>
    <xf numFmtId="4" fontId="5" fillId="4" borderId="5" xfId="0" applyNumberFormat="1" applyFont="1" applyFill="1" applyBorder="1" applyAlignment="1">
      <alignment horizontal="center" vertical="center" wrapText="1"/>
    </xf>
    <xf numFmtId="0" fontId="0" fillId="4" borderId="0" xfId="0" applyFill="1" applyAlignment="1">
      <alignment vertical="center"/>
    </xf>
    <xf numFmtId="0" fontId="0" fillId="0" borderId="0" xfId="0" applyAlignment="1">
      <alignment horizontal="center"/>
    </xf>
    <xf numFmtId="0" fontId="11" fillId="0" borderId="4" xfId="0" applyFont="1" applyBorder="1" applyAlignment="1">
      <alignment horizontal="center" vertical="center" wrapText="1"/>
    </xf>
    <xf numFmtId="0" fontId="10" fillId="0" borderId="12"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2" xfId="0" applyFont="1" applyBorder="1" applyAlignment="1">
      <alignment vertical="center" wrapText="1"/>
    </xf>
    <xf numFmtId="2" fontId="11" fillId="0" borderId="12" xfId="0" applyNumberFormat="1" applyFont="1" applyBorder="1" applyAlignment="1">
      <alignment horizontal="center" vertical="center" wrapText="1"/>
    </xf>
    <xf numFmtId="8" fontId="12" fillId="0" borderId="12" xfId="0" applyNumberFormat="1" applyFont="1" applyBorder="1" applyAlignment="1">
      <alignment horizontal="center" vertical="center" wrapText="1"/>
    </xf>
    <xf numFmtId="0" fontId="11" fillId="0" borderId="4" xfId="0" applyFont="1" applyBorder="1" applyAlignment="1">
      <alignment vertical="center" wrapText="1"/>
    </xf>
    <xf numFmtId="0" fontId="10" fillId="3" borderId="12" xfId="0" applyFont="1" applyFill="1" applyBorder="1" applyAlignment="1">
      <alignment horizontal="center" vertical="center" wrapText="1"/>
    </xf>
    <xf numFmtId="164" fontId="13" fillId="0" borderId="4" xfId="0" applyNumberFormat="1" applyFont="1" applyFill="1" applyBorder="1" applyAlignment="1">
      <alignment horizontal="center" vertical="center"/>
    </xf>
    <xf numFmtId="164" fontId="14" fillId="0" borderId="13" xfId="0" applyNumberFormat="1" applyFont="1" applyFill="1" applyBorder="1" applyAlignment="1">
      <alignment horizontal="center" vertical="center" wrapText="1"/>
    </xf>
    <xf numFmtId="164" fontId="12" fillId="0" borderId="12" xfId="0" applyNumberFormat="1" applyFont="1" applyBorder="1" applyAlignment="1">
      <alignment horizontal="center" vertical="center" wrapText="1"/>
    </xf>
    <xf numFmtId="164" fontId="11" fillId="0" borderId="4" xfId="0" applyNumberFormat="1" applyFont="1" applyBorder="1" applyAlignment="1">
      <alignment horizontal="center" vertical="center" wrapText="1"/>
    </xf>
    <xf numFmtId="164" fontId="11" fillId="0" borderId="4" xfId="0" applyNumberFormat="1" applyFont="1" applyBorder="1" applyAlignment="1">
      <alignment vertical="center" wrapText="1"/>
    </xf>
    <xf numFmtId="3" fontId="11" fillId="0" borderId="12" xfId="0" applyNumberFormat="1" applyFont="1" applyBorder="1" applyAlignment="1">
      <alignment horizontal="center" vertical="center" wrapText="1"/>
    </xf>
    <xf numFmtId="0" fontId="14" fillId="2" borderId="0" xfId="0" applyFont="1" applyFill="1" applyAlignment="1">
      <alignment horizontal="left" vertical="center" indent="1"/>
    </xf>
    <xf numFmtId="164" fontId="13" fillId="0" borderId="4" xfId="0" applyNumberFormat="1" applyFont="1" applyBorder="1" applyAlignment="1">
      <alignment horizontal="center" vertical="center"/>
    </xf>
    <xf numFmtId="164" fontId="14" fillId="13" borderId="12" xfId="0" applyNumberFormat="1" applyFont="1" applyFill="1" applyBorder="1" applyAlignment="1">
      <alignment horizontal="center" vertical="center" wrapText="1"/>
    </xf>
    <xf numFmtId="164" fontId="14" fillId="19" borderId="13" xfId="0" applyNumberFormat="1" applyFont="1" applyFill="1" applyBorder="1" applyAlignment="1">
      <alignment horizontal="center" vertical="center"/>
    </xf>
    <xf numFmtId="164" fontId="13" fillId="19" borderId="4" xfId="0" applyNumberFormat="1" applyFont="1" applyFill="1" applyBorder="1" applyAlignment="1">
      <alignment horizontal="center" vertical="center"/>
    </xf>
    <xf numFmtId="0" fontId="14" fillId="0" borderId="0" xfId="0" applyFont="1" applyAlignment="1">
      <alignment horizontal="left" vertical="center" indent="1"/>
    </xf>
    <xf numFmtId="0" fontId="13" fillId="3" borderId="4"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4" fillId="2" borderId="0" xfId="0" applyFont="1" applyFill="1" applyAlignment="1">
      <alignment horizontal="center" vertical="center"/>
    </xf>
    <xf numFmtId="0" fontId="14" fillId="0" borderId="0" xfId="0" applyFont="1" applyAlignment="1">
      <alignment horizontal="center" vertical="center"/>
    </xf>
    <xf numFmtId="0" fontId="19" fillId="3" borderId="4" xfId="0" applyFont="1" applyFill="1" applyBorder="1" applyAlignment="1">
      <alignment horizontal="center" vertical="center" wrapText="1"/>
    </xf>
    <xf numFmtId="0" fontId="19" fillId="2" borderId="0" xfId="0" applyFont="1" applyFill="1" applyAlignment="1">
      <alignment horizontal="center" vertical="center"/>
    </xf>
    <xf numFmtId="0" fontId="19" fillId="0" borderId="0" xfId="0" applyFont="1" applyAlignment="1">
      <alignment horizontal="center" vertical="center"/>
    </xf>
    <xf numFmtId="0" fontId="14" fillId="0" borderId="4" xfId="0" applyFont="1" applyBorder="1" applyAlignment="1">
      <alignment horizontal="left" vertical="center" wrapText="1" indent="1"/>
    </xf>
    <xf numFmtId="164" fontId="14" fillId="0" borderId="13" xfId="0" applyNumberFormat="1" applyFont="1" applyFill="1" applyBorder="1" applyAlignment="1">
      <alignment horizontal="left" vertical="center" wrapText="1" indent="1"/>
    </xf>
    <xf numFmtId="164" fontId="14" fillId="0" borderId="16" xfId="0" applyNumberFormat="1" applyFont="1" applyFill="1" applyBorder="1" applyAlignment="1">
      <alignment horizontal="left" vertical="center" wrapText="1" indent="1"/>
    </xf>
    <xf numFmtId="164" fontId="14" fillId="0" borderId="12" xfId="0" applyNumberFormat="1" applyFont="1" applyFill="1" applyBorder="1" applyAlignment="1">
      <alignment horizontal="left" vertical="center" wrapText="1" indent="1"/>
    </xf>
    <xf numFmtId="0" fontId="14" fillId="13" borderId="4" xfId="0" applyFont="1" applyFill="1" applyBorder="1" applyAlignment="1">
      <alignment horizontal="left" vertical="center" wrapText="1" indent="1"/>
    </xf>
    <xf numFmtId="164" fontId="14" fillId="13" borderId="12" xfId="0" applyNumberFormat="1" applyFont="1" applyFill="1" applyBorder="1" applyAlignment="1">
      <alignment horizontal="left" vertical="center" wrapText="1" indent="1"/>
    </xf>
    <xf numFmtId="0" fontId="13" fillId="0" borderId="4" xfId="0" applyFont="1" applyBorder="1" applyAlignment="1">
      <alignment horizontal="left" vertical="center" wrapText="1" indent="1"/>
    </xf>
    <xf numFmtId="0" fontId="14" fillId="2" borderId="0" xfId="0" applyFont="1" applyFill="1" applyAlignment="1">
      <alignment horizontal="left" vertical="center" wrapText="1" indent="1"/>
    </xf>
    <xf numFmtId="164" fontId="14" fillId="0" borderId="15" xfId="0" applyNumberFormat="1" applyFont="1" applyFill="1" applyBorder="1" applyAlignment="1">
      <alignment horizontal="center" vertical="center" wrapText="1"/>
    </xf>
    <xf numFmtId="0" fontId="13" fillId="2" borderId="0" xfId="0" applyFont="1" applyFill="1" applyAlignment="1">
      <alignment horizontal="left" vertical="center" indent="1"/>
    </xf>
    <xf numFmtId="4" fontId="14" fillId="2" borderId="0" xfId="0" applyNumberFormat="1" applyFont="1" applyFill="1" applyAlignment="1">
      <alignment horizontal="left" vertical="center" indent="1"/>
    </xf>
    <xf numFmtId="164" fontId="14" fillId="13" borderId="14" xfId="0" applyNumberFormat="1" applyFont="1" applyFill="1" applyBorder="1" applyAlignment="1">
      <alignment horizontal="center" vertical="center" wrapText="1"/>
    </xf>
    <xf numFmtId="0" fontId="18" fillId="3" borderId="4" xfId="0" applyFont="1" applyFill="1" applyBorder="1" applyAlignment="1">
      <alignment horizontal="center" vertical="center" wrapText="1"/>
    </xf>
    <xf numFmtId="164" fontId="14" fillId="13" borderId="4" xfId="0" applyNumberFormat="1" applyFont="1" applyFill="1" applyBorder="1" applyAlignment="1">
      <alignment horizontal="center" vertical="center" wrapText="1"/>
    </xf>
    <xf numFmtId="0" fontId="10" fillId="3" borderId="4" xfId="0" applyFont="1" applyFill="1" applyBorder="1" applyAlignment="1">
      <alignment horizontal="center" vertical="center" wrapText="1"/>
    </xf>
    <xf numFmtId="0" fontId="20" fillId="0" borderId="4" xfId="0" applyFont="1" applyBorder="1" applyAlignment="1">
      <alignment horizontal="center" vertical="center" wrapText="1"/>
    </xf>
    <xf numFmtId="0" fontId="11" fillId="0" borderId="0" xfId="0" applyFont="1" applyBorder="1" applyAlignment="1">
      <alignment horizontal="center" vertical="center" wrapText="1"/>
    </xf>
    <xf numFmtId="1" fontId="11" fillId="0" borderId="4" xfId="0" applyNumberFormat="1" applyFont="1" applyBorder="1" applyAlignment="1">
      <alignment horizontal="center" vertical="center" wrapText="1"/>
    </xf>
    <xf numFmtId="1" fontId="10" fillId="0" borderId="12" xfId="0" applyNumberFormat="1" applyFont="1" applyBorder="1" applyAlignment="1">
      <alignment horizontal="center" vertical="center" wrapText="1"/>
    </xf>
    <xf numFmtId="0" fontId="0" fillId="0" borderId="4" xfId="0" applyBorder="1" applyAlignment="1">
      <alignment horizontal="center"/>
    </xf>
    <xf numFmtId="4" fontId="11" fillId="0" borderId="12" xfId="0" applyNumberFormat="1" applyFont="1" applyBorder="1" applyAlignment="1">
      <alignment horizontal="center" vertical="center" wrapText="1"/>
    </xf>
    <xf numFmtId="0" fontId="0" fillId="2" borderId="0" xfId="0" applyFill="1"/>
    <xf numFmtId="0" fontId="0" fillId="2" borderId="0" xfId="0" applyFill="1" applyAlignment="1">
      <alignment horizontal="center"/>
    </xf>
    <xf numFmtId="0" fontId="1" fillId="2" borderId="0" xfId="0" applyFont="1" applyFill="1"/>
    <xf numFmtId="0" fontId="10" fillId="2" borderId="0" xfId="0" applyFont="1" applyFill="1" applyBorder="1" applyAlignment="1">
      <alignment vertical="center" wrapText="1"/>
    </xf>
    <xf numFmtId="0" fontId="1" fillId="2" borderId="0" xfId="0" applyFont="1" applyFill="1" applyAlignment="1">
      <alignment horizontal="center" vertical="center"/>
    </xf>
    <xf numFmtId="8" fontId="0" fillId="2" borderId="0" xfId="0" applyNumberFormat="1" applyFill="1" applyAlignment="1">
      <alignment horizontal="center"/>
    </xf>
    <xf numFmtId="2" fontId="0" fillId="2" borderId="0" xfId="0" applyNumberFormat="1" applyFill="1" applyAlignment="1">
      <alignment horizontal="center"/>
    </xf>
    <xf numFmtId="0" fontId="11" fillId="2" borderId="0" xfId="0" applyFont="1" applyFill="1" applyBorder="1" applyAlignment="1">
      <alignment horizontal="center" vertical="center" wrapText="1"/>
    </xf>
    <xf numFmtId="0" fontId="0" fillId="2" borderId="0" xfId="0" applyFill="1" applyBorder="1" applyAlignment="1">
      <alignment horizontal="center"/>
    </xf>
    <xf numFmtId="0" fontId="11" fillId="2" borderId="0" xfId="0" applyFont="1" applyFill="1" applyBorder="1" applyAlignment="1">
      <alignment horizontal="left" vertical="center"/>
    </xf>
    <xf numFmtId="8" fontId="10" fillId="2" borderId="0" xfId="0" applyNumberFormat="1" applyFont="1" applyFill="1" applyBorder="1" applyAlignment="1">
      <alignment horizontal="center" vertical="center" wrapText="1"/>
    </xf>
    <xf numFmtId="1" fontId="11" fillId="2" borderId="0" xfId="0" applyNumberFormat="1" applyFont="1" applyFill="1" applyBorder="1" applyAlignment="1">
      <alignment horizontal="center" vertical="center" wrapText="1"/>
    </xf>
    <xf numFmtId="1" fontId="10" fillId="2" borderId="0" xfId="0" applyNumberFormat="1" applyFont="1" applyFill="1" applyBorder="1" applyAlignment="1">
      <alignment horizontal="center" vertical="center" wrapText="1"/>
    </xf>
    <xf numFmtId="0" fontId="11" fillId="2" borderId="4" xfId="0" applyFont="1" applyFill="1" applyBorder="1" applyAlignment="1">
      <alignment horizontal="center" vertical="center" wrapText="1"/>
    </xf>
    <xf numFmtId="0" fontId="3" fillId="2" borderId="0" xfId="1" applyFont="1" applyFill="1" applyAlignment="1" applyProtection="1">
      <alignment horizontal="left" vertical="center" wrapText="1"/>
      <protection locked="0"/>
    </xf>
    <xf numFmtId="0" fontId="16" fillId="2" borderId="0" xfId="0" applyFont="1" applyFill="1" applyAlignment="1" applyProtection="1">
      <alignment horizontal="left" vertical="center" wrapText="1"/>
      <protection locked="0"/>
    </xf>
    <xf numFmtId="0" fontId="0" fillId="2" borderId="0" xfId="0" applyFill="1" applyAlignment="1">
      <alignment wrapText="1"/>
    </xf>
    <xf numFmtId="0" fontId="0" fillId="0" borderId="0" xfId="0" applyAlignment="1">
      <alignment wrapText="1"/>
    </xf>
    <xf numFmtId="0" fontId="0" fillId="2" borderId="0" xfId="0" applyFill="1" applyAlignment="1">
      <alignment horizontal="center" wrapText="1"/>
    </xf>
    <xf numFmtId="0" fontId="14" fillId="0" borderId="0" xfId="0" applyFont="1" applyAlignment="1">
      <alignment horizontal="left" vertical="center" wrapText="1"/>
    </xf>
    <xf numFmtId="0" fontId="14" fillId="2" borderId="0" xfId="0" applyFont="1" applyFill="1" applyAlignment="1">
      <alignment horizontal="left" vertical="center" wrapText="1"/>
    </xf>
    <xf numFmtId="0" fontId="23" fillId="19" borderId="0" xfId="0" applyFont="1" applyFill="1" applyAlignment="1">
      <alignment wrapText="1"/>
    </xf>
    <xf numFmtId="0" fontId="1" fillId="2" borderId="0" xfId="0" applyFont="1" applyFill="1" applyAlignment="1">
      <alignment wrapText="1"/>
    </xf>
    <xf numFmtId="0" fontId="23" fillId="2" borderId="0" xfId="0" applyFont="1" applyFill="1" applyAlignment="1">
      <alignment wrapText="1"/>
    </xf>
    <xf numFmtId="0" fontId="0" fillId="2" borderId="0" xfId="0" applyFont="1" applyFill="1" applyAlignment="1">
      <alignment wrapText="1"/>
    </xf>
    <xf numFmtId="0" fontId="0" fillId="0" borderId="0" xfId="0" applyAlignment="1">
      <alignment horizontal="center" wrapText="1"/>
    </xf>
    <xf numFmtId="0" fontId="25" fillId="0" borderId="4" xfId="0" applyFont="1" applyBorder="1" applyAlignment="1">
      <alignment vertical="center" wrapText="1"/>
    </xf>
    <xf numFmtId="3" fontId="25" fillId="0" borderId="12" xfId="0" applyNumberFormat="1" applyFont="1" applyBorder="1" applyAlignment="1">
      <alignment horizontal="center" vertical="center" wrapText="1"/>
    </xf>
    <xf numFmtId="0" fontId="25" fillId="0" borderId="4" xfId="0" applyFont="1" applyBorder="1" applyAlignment="1">
      <alignment horizontal="center" vertical="center" wrapText="1"/>
    </xf>
    <xf numFmtId="0" fontId="1" fillId="2" borderId="0" xfId="0" applyFont="1" applyFill="1" applyAlignment="1"/>
    <xf numFmtId="164" fontId="25" fillId="0" borderId="12" xfId="0" applyNumberFormat="1" applyFont="1" applyBorder="1" applyAlignment="1">
      <alignment horizontal="center" vertical="center" wrapText="1"/>
    </xf>
    <xf numFmtId="164" fontId="11" fillId="0" borderId="12" xfId="0" applyNumberFormat="1" applyFont="1" applyBorder="1" applyAlignment="1">
      <alignment horizontal="center" vertical="center" wrapText="1"/>
    </xf>
    <xf numFmtId="164" fontId="11" fillId="2" borderId="4" xfId="0" applyNumberFormat="1" applyFont="1" applyFill="1" applyBorder="1" applyAlignment="1">
      <alignment horizontal="center" vertical="center" wrapText="1"/>
    </xf>
    <xf numFmtId="0" fontId="26" fillId="0" borderId="0" xfId="0" applyFont="1" applyAlignment="1">
      <alignment wrapText="1"/>
    </xf>
    <xf numFmtId="0" fontId="26" fillId="2" borderId="0" xfId="0" applyFont="1" applyFill="1" applyAlignment="1">
      <alignment wrapText="1"/>
    </xf>
    <xf numFmtId="0" fontId="28" fillId="2" borderId="0" xfId="0" applyFont="1" applyFill="1" applyAlignment="1">
      <alignment horizontal="left" vertical="center" wrapText="1"/>
    </xf>
    <xf numFmtId="0" fontId="28" fillId="0" borderId="0" xfId="0" applyFont="1" applyAlignment="1">
      <alignment horizontal="left" vertical="center" wrapText="1"/>
    </xf>
    <xf numFmtId="0" fontId="26" fillId="2" borderId="0" xfId="0" applyFont="1" applyFill="1"/>
    <xf numFmtId="0" fontId="26" fillId="0" borderId="0" xfId="0" applyFont="1"/>
    <xf numFmtId="0" fontId="29" fillId="2" borderId="0" xfId="0" applyFont="1" applyFill="1"/>
    <xf numFmtId="0" fontId="1" fillId="3" borderId="4" xfId="0" applyFont="1" applyFill="1" applyBorder="1" applyAlignment="1">
      <alignment horizontal="center" vertical="center" wrapText="1"/>
    </xf>
    <xf numFmtId="0" fontId="28" fillId="0" borderId="4" xfId="0" applyFont="1" applyBorder="1" applyAlignment="1">
      <alignment vertical="center"/>
    </xf>
    <xf numFmtId="0" fontId="28" fillId="0" borderId="4" xfId="0" applyFont="1" applyBorder="1" applyAlignment="1">
      <alignment horizontal="center" vertical="center" wrapText="1"/>
    </xf>
    <xf numFmtId="0" fontId="26" fillId="0" borderId="4" xfId="0" applyFont="1" applyBorder="1"/>
    <xf numFmtId="0" fontId="31" fillId="0" borderId="4" xfId="0" applyFont="1" applyBorder="1" applyAlignment="1">
      <alignment vertical="center"/>
    </xf>
    <xf numFmtId="0" fontId="31" fillId="0" borderId="4" xfId="0" applyFont="1" applyBorder="1" applyAlignment="1">
      <alignment horizontal="center" vertical="center" wrapText="1"/>
    </xf>
    <xf numFmtId="0" fontId="28" fillId="2" borderId="0" xfId="0" applyFont="1" applyFill="1" applyAlignment="1">
      <alignment vertical="center"/>
    </xf>
    <xf numFmtId="0" fontId="28" fillId="2" borderId="0" xfId="0" applyFont="1" applyFill="1" applyAlignment="1">
      <alignment horizontal="center" vertical="center" wrapText="1"/>
    </xf>
    <xf numFmtId="164" fontId="26" fillId="0" borderId="4" xfId="0" applyNumberFormat="1" applyFont="1" applyBorder="1" applyAlignment="1">
      <alignment horizontal="center"/>
    </xf>
    <xf numFmtId="0" fontId="35" fillId="2" borderId="0" xfId="0" applyFont="1" applyFill="1" applyAlignment="1">
      <alignment horizontal="left" vertical="center"/>
    </xf>
    <xf numFmtId="0" fontId="0" fillId="2" borderId="0" xfId="0" applyFill="1" applyAlignment="1">
      <alignment vertical="center"/>
    </xf>
    <xf numFmtId="0" fontId="36" fillId="2" borderId="0" xfId="0" applyFont="1" applyFill="1" applyAlignment="1">
      <alignment horizontal="center" vertical="center" wrapText="1"/>
    </xf>
    <xf numFmtId="0" fontId="0" fillId="2" borderId="0" xfId="0" applyFill="1" applyAlignment="1">
      <alignment vertical="center" wrapText="1"/>
    </xf>
    <xf numFmtId="0" fontId="35" fillId="2" borderId="0" xfId="0" applyFont="1" applyFill="1" applyAlignment="1">
      <alignment horizontal="center" vertical="center"/>
    </xf>
    <xf numFmtId="0" fontId="35" fillId="2" borderId="0" xfId="0" applyFont="1" applyFill="1" applyAlignment="1">
      <alignment vertical="center"/>
    </xf>
    <xf numFmtId="0" fontId="41" fillId="25" borderId="0" xfId="0" applyFont="1" applyFill="1" applyAlignment="1">
      <alignment horizontal="left" vertical="center" wrapText="1"/>
    </xf>
    <xf numFmtId="0" fontId="42" fillId="0" borderId="0" xfId="0" applyFont="1" applyAlignment="1">
      <alignment vertical="center"/>
    </xf>
    <xf numFmtId="0" fontId="17" fillId="17" borderId="0" xfId="1" applyFont="1" applyFill="1" applyAlignment="1" applyProtection="1">
      <alignment vertical="center"/>
      <protection locked="0"/>
    </xf>
    <xf numFmtId="0" fontId="1" fillId="26" borderId="4" xfId="0" applyFont="1" applyFill="1" applyBorder="1" applyAlignment="1">
      <alignment horizontal="center" vertical="center"/>
    </xf>
    <xf numFmtId="0" fontId="1" fillId="26" borderId="4" xfId="0" applyFont="1" applyFill="1" applyBorder="1" applyAlignment="1">
      <alignment horizontal="center" vertical="center" wrapText="1"/>
    </xf>
    <xf numFmtId="0" fontId="0" fillId="0" borderId="4" xfId="0" applyBorder="1"/>
    <xf numFmtId="0" fontId="23" fillId="19" borderId="0" xfId="0" applyFont="1" applyFill="1" applyAlignment="1">
      <alignment horizontal="center" vertical="center"/>
    </xf>
    <xf numFmtId="0" fontId="23" fillId="19" borderId="0" xfId="0" applyFont="1" applyFill="1" applyAlignment="1">
      <alignment horizontal="center" vertical="center" wrapText="1"/>
    </xf>
    <xf numFmtId="0" fontId="25" fillId="0" borderId="0" xfId="0" applyFont="1" applyBorder="1" applyAlignment="1">
      <alignment vertical="center" wrapText="1"/>
    </xf>
    <xf numFmtId="3" fontId="25" fillId="0" borderId="0" xfId="0" applyNumberFormat="1" applyFont="1" applyBorder="1" applyAlignment="1">
      <alignment horizontal="center" vertical="center" wrapText="1"/>
    </xf>
    <xf numFmtId="164" fontId="25" fillId="0" borderId="0" xfId="0" applyNumberFormat="1" applyFont="1" applyBorder="1" applyAlignment="1">
      <alignment horizontal="center" vertical="center" wrapText="1"/>
    </xf>
    <xf numFmtId="3" fontId="11" fillId="0" borderId="0" xfId="0" applyNumberFormat="1" applyFont="1" applyBorder="1" applyAlignment="1">
      <alignment horizontal="center" vertical="center" wrapText="1"/>
    </xf>
    <xf numFmtId="164" fontId="11" fillId="2" borderId="0" xfId="0" applyNumberFormat="1" applyFont="1" applyFill="1" applyBorder="1" applyAlignment="1">
      <alignment horizontal="center" vertical="center" wrapText="1"/>
    </xf>
    <xf numFmtId="164" fontId="11" fillId="0" borderId="0" xfId="0" applyNumberFormat="1" applyFont="1" applyBorder="1" applyAlignment="1">
      <alignment horizontal="center" vertical="center" wrapText="1"/>
    </xf>
    <xf numFmtId="0" fontId="13" fillId="3" borderId="4" xfId="0" applyFont="1" applyFill="1" applyBorder="1" applyAlignment="1">
      <alignment horizontal="center" vertical="center" wrapText="1"/>
    </xf>
    <xf numFmtId="0" fontId="14" fillId="0" borderId="4" xfId="0" applyFont="1" applyBorder="1" applyAlignment="1">
      <alignment horizontal="left" vertical="center" indent="1"/>
    </xf>
    <xf numFmtId="0" fontId="11" fillId="0" borderId="24" xfId="0" applyFont="1" applyBorder="1" applyAlignment="1">
      <alignment horizontal="center" vertical="center" wrapText="1"/>
    </xf>
    <xf numFmtId="0" fontId="0" fillId="0" borderId="0" xfId="0" applyBorder="1" applyAlignment="1">
      <alignment horizontal="center" vertical="center" wrapText="1"/>
    </xf>
    <xf numFmtId="1" fontId="10" fillId="0" borderId="0" xfId="0" applyNumberFormat="1" applyFont="1" applyBorder="1" applyAlignment="1">
      <alignment horizontal="center" vertical="center" wrapText="1"/>
    </xf>
    <xf numFmtId="164" fontId="26" fillId="0" borderId="0" xfId="0" applyNumberFormat="1" applyFont="1" applyBorder="1" applyAlignment="1">
      <alignment horizontal="center"/>
    </xf>
    <xf numFmtId="0" fontId="1" fillId="3" borderId="18" xfId="0" applyFont="1" applyFill="1" applyBorder="1" applyAlignment="1">
      <alignment horizontal="center" vertical="center" wrapText="1"/>
    </xf>
    <xf numFmtId="0" fontId="0" fillId="0" borderId="0" xfId="0" applyBorder="1"/>
    <xf numFmtId="164" fontId="25" fillId="0" borderId="13" xfId="0" applyNumberFormat="1" applyFont="1" applyBorder="1" applyAlignment="1">
      <alignment horizontal="center" vertical="center" wrapText="1"/>
    </xf>
    <xf numFmtId="164" fontId="25" fillId="0" borderId="27" xfId="0" applyNumberFormat="1" applyFont="1" applyBorder="1" applyAlignment="1">
      <alignment horizontal="center" vertical="center" wrapText="1"/>
    </xf>
    <xf numFmtId="0" fontId="10" fillId="3" borderId="14" xfId="0" applyFont="1" applyFill="1" applyBorder="1" applyAlignment="1">
      <alignment horizontal="center" vertical="center" wrapText="1"/>
    </xf>
    <xf numFmtId="164" fontId="25" fillId="0" borderId="4" xfId="0" applyNumberFormat="1" applyFont="1" applyBorder="1" applyAlignment="1">
      <alignment vertical="center" wrapText="1"/>
    </xf>
    <xf numFmtId="0" fontId="10" fillId="2" borderId="4" xfId="0" applyFont="1" applyFill="1" applyBorder="1" applyAlignment="1">
      <alignment horizontal="center" vertical="center" wrapText="1"/>
    </xf>
    <xf numFmtId="1" fontId="11" fillId="2" borderId="4" xfId="0" applyNumberFormat="1" applyFont="1" applyFill="1" applyBorder="1" applyAlignment="1">
      <alignment vertical="center" wrapText="1"/>
    </xf>
    <xf numFmtId="0" fontId="0" fillId="2" borderId="4" xfId="0" applyFill="1" applyBorder="1" applyAlignment="1">
      <alignment horizontal="center"/>
    </xf>
    <xf numFmtId="0" fontId="11" fillId="2" borderId="4" xfId="0" applyFont="1" applyFill="1" applyBorder="1" applyAlignment="1">
      <alignment vertical="center" wrapText="1"/>
    </xf>
    <xf numFmtId="164" fontId="13" fillId="24" borderId="4" xfId="0" applyNumberFormat="1" applyFont="1" applyFill="1" applyBorder="1" applyAlignment="1">
      <alignment horizontal="center" vertical="center"/>
    </xf>
    <xf numFmtId="164" fontId="13" fillId="13" borderId="4" xfId="0" applyNumberFormat="1" applyFont="1" applyFill="1" applyBorder="1" applyAlignment="1">
      <alignment horizontal="center" vertical="center" wrapText="1"/>
    </xf>
    <xf numFmtId="1" fontId="11" fillId="2" borderId="0" xfId="0" applyNumberFormat="1" applyFont="1" applyFill="1" applyBorder="1" applyAlignment="1">
      <alignment vertical="center" wrapText="1"/>
    </xf>
    <xf numFmtId="1" fontId="11" fillId="0" borderId="0" xfId="0" applyNumberFormat="1" applyFont="1" applyBorder="1" applyAlignment="1">
      <alignment horizontal="center" vertical="center" wrapText="1"/>
    </xf>
    <xf numFmtId="8" fontId="45" fillId="0" borderId="12" xfId="0" applyNumberFormat="1" applyFont="1" applyBorder="1" applyAlignment="1">
      <alignment horizontal="center" vertical="center" wrapText="1"/>
    </xf>
    <xf numFmtId="164" fontId="13" fillId="0" borderId="13" xfId="0" applyNumberFormat="1" applyFont="1" applyFill="1" applyBorder="1" applyAlignment="1">
      <alignment horizontal="center" vertical="center" wrapText="1"/>
    </xf>
    <xf numFmtId="164" fontId="13" fillId="24" borderId="13" xfId="0" applyNumberFormat="1" applyFont="1" applyFill="1" applyBorder="1" applyAlignment="1">
      <alignment horizontal="center" vertical="center" wrapText="1"/>
    </xf>
    <xf numFmtId="164" fontId="13" fillId="0" borderId="0" xfId="0" applyNumberFormat="1" applyFont="1" applyFill="1" applyBorder="1" applyAlignment="1">
      <alignment horizontal="center" vertical="center"/>
    </xf>
    <xf numFmtId="164" fontId="13" fillId="19" borderId="0" xfId="0" applyNumberFormat="1" applyFont="1" applyFill="1" applyBorder="1" applyAlignment="1">
      <alignment horizontal="center" vertical="center"/>
    </xf>
    <xf numFmtId="0" fontId="46" fillId="0" borderId="0" xfId="0" applyFont="1"/>
    <xf numFmtId="0" fontId="29" fillId="2" borderId="0" xfId="0" applyFont="1" applyFill="1" applyAlignment="1"/>
    <xf numFmtId="0" fontId="5" fillId="10" borderId="10"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35" fillId="2" borderId="0" xfId="0" applyFont="1" applyFill="1" applyAlignment="1">
      <alignment horizontal="left" vertical="center"/>
    </xf>
    <xf numFmtId="0" fontId="0" fillId="2" borderId="0" xfId="0" applyFill="1" applyAlignment="1">
      <alignment vertical="center"/>
    </xf>
    <xf numFmtId="0" fontId="36" fillId="2" borderId="0" xfId="0" applyFont="1" applyFill="1" applyAlignment="1">
      <alignment horizontal="center" vertical="center" wrapText="1"/>
    </xf>
    <xf numFmtId="0" fontId="0" fillId="2" borderId="0" xfId="0" applyFill="1" applyAlignment="1">
      <alignment vertical="center" wrapText="1"/>
    </xf>
    <xf numFmtId="0" fontId="37" fillId="23" borderId="10" xfId="0" applyFont="1" applyFill="1" applyBorder="1" applyAlignment="1">
      <alignment horizontal="left" vertical="top" wrapText="1"/>
    </xf>
    <xf numFmtId="0" fontId="40" fillId="24" borderId="7" xfId="0" applyFont="1" applyFill="1" applyBorder="1" applyAlignment="1">
      <alignment vertical="top"/>
    </xf>
    <xf numFmtId="0" fontId="40" fillId="24" borderId="6" xfId="0" applyFont="1" applyFill="1" applyBorder="1" applyAlignment="1">
      <alignment vertical="top"/>
    </xf>
    <xf numFmtId="4" fontId="21" fillId="18" borderId="4" xfId="1" applyNumberFormat="1" applyFont="1" applyFill="1" applyBorder="1" applyAlignment="1">
      <alignment horizontal="left" vertical="center" wrapText="1" indent="1"/>
    </xf>
    <xf numFmtId="0" fontId="22" fillId="21" borderId="4" xfId="0" applyFont="1" applyFill="1" applyBorder="1" applyAlignment="1">
      <alignment horizontal="center" vertical="center" wrapText="1"/>
    </xf>
    <xf numFmtId="0" fontId="17" fillId="17" borderId="0" xfId="1" applyFont="1" applyFill="1" applyAlignment="1" applyProtection="1">
      <alignment horizontal="left" vertical="center"/>
      <protection locked="0"/>
    </xf>
    <xf numFmtId="0" fontId="3" fillId="18" borderId="0" xfId="1" applyFont="1" applyFill="1" applyAlignment="1" applyProtection="1">
      <alignment horizontal="center" vertical="center" wrapText="1"/>
      <protection locked="0"/>
    </xf>
    <xf numFmtId="0" fontId="3" fillId="18" borderId="0" xfId="1" applyFont="1" applyFill="1" applyAlignment="1" applyProtection="1">
      <alignment horizontal="left" vertical="center" wrapText="1"/>
      <protection locked="0"/>
    </xf>
    <xf numFmtId="0" fontId="13" fillId="3" borderId="4"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3" fillId="3" borderId="3" xfId="0" applyFont="1" applyFill="1" applyBorder="1" applyAlignment="1">
      <alignment horizontal="center" vertical="center" wrapText="1"/>
    </xf>
    <xf numFmtId="4" fontId="21" fillId="18" borderId="1" xfId="1" applyNumberFormat="1" applyFont="1" applyFill="1" applyBorder="1" applyAlignment="1" applyProtection="1">
      <alignment horizontal="left" vertical="center" wrapText="1" indent="1"/>
    </xf>
    <xf numFmtId="4" fontId="21" fillId="18" borderId="2" xfId="1" applyNumberFormat="1" applyFont="1" applyFill="1" applyBorder="1" applyAlignment="1" applyProtection="1">
      <alignment horizontal="left" vertical="center" wrapText="1" indent="1"/>
    </xf>
    <xf numFmtId="0" fontId="14" fillId="2" borderId="0" xfId="0" applyFont="1" applyFill="1" applyAlignment="1">
      <alignment horizontal="left" vertical="center" wrapText="1" indent="1"/>
    </xf>
    <xf numFmtId="0" fontId="22" fillId="21" borderId="4" xfId="0" applyNumberFormat="1" applyFont="1" applyFill="1" applyBorder="1" applyAlignment="1" applyProtection="1">
      <alignment horizontal="center" vertical="center" wrapText="1"/>
    </xf>
    <xf numFmtId="0" fontId="13" fillId="3" borderId="17" xfId="0" applyFont="1" applyFill="1" applyBorder="1" applyAlignment="1">
      <alignment horizontal="center" vertical="center"/>
    </xf>
    <xf numFmtId="0" fontId="13" fillId="3" borderId="19" xfId="0" applyFont="1" applyFill="1" applyBorder="1" applyAlignment="1">
      <alignment horizontal="center" vertical="center"/>
    </xf>
    <xf numFmtId="0" fontId="13" fillId="3" borderId="18"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164" fontId="14" fillId="0" borderId="4" xfId="0" applyNumberFormat="1" applyFont="1" applyFill="1" applyBorder="1" applyAlignment="1">
      <alignment horizontal="center" vertical="center"/>
    </xf>
    <xf numFmtId="164" fontId="14" fillId="0" borderId="1" xfId="0" applyNumberFormat="1" applyFont="1" applyFill="1" applyBorder="1" applyAlignment="1">
      <alignment horizontal="center" vertical="center"/>
    </xf>
    <xf numFmtId="164" fontId="14" fillId="0" borderId="3" xfId="0" applyNumberFormat="1" applyFont="1" applyFill="1" applyBorder="1" applyAlignment="1">
      <alignment horizontal="center" vertical="center"/>
    </xf>
    <xf numFmtId="164" fontId="14" fillId="13" borderId="4" xfId="0" applyNumberFormat="1" applyFont="1" applyFill="1" applyBorder="1" applyAlignment="1">
      <alignment horizontal="center" vertical="center" wrapText="1"/>
    </xf>
    <xf numFmtId="164" fontId="13" fillId="0" borderId="1" xfId="0" applyNumberFormat="1" applyFont="1" applyFill="1" applyBorder="1" applyAlignment="1">
      <alignment horizontal="center" vertical="center"/>
    </xf>
    <xf numFmtId="164" fontId="13" fillId="0" borderId="3" xfId="0" applyNumberFormat="1" applyFont="1" applyFill="1" applyBorder="1" applyAlignment="1">
      <alignment horizontal="center" vertical="center"/>
    </xf>
    <xf numFmtId="0" fontId="11" fillId="2" borderId="17"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0" borderId="17"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13" xfId="0" applyFont="1" applyBorder="1" applyAlignment="1">
      <alignment horizontal="center" vertical="center" wrapText="1"/>
    </xf>
    <xf numFmtId="0" fontId="20" fillId="20" borderId="21"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16" fillId="16" borderId="0" xfId="0" applyFont="1" applyFill="1" applyAlignment="1" applyProtection="1">
      <alignment horizontal="left" vertical="center" wrapText="1"/>
      <protection locked="0"/>
    </xf>
    <xf numFmtId="4" fontId="21" fillId="18" borderId="1" xfId="1" applyNumberFormat="1" applyFont="1" applyFill="1" applyBorder="1" applyAlignment="1" applyProtection="1">
      <alignment horizontal="left" vertical="center" wrapText="1"/>
    </xf>
    <xf numFmtId="4" fontId="21" fillId="18" borderId="3" xfId="1" applyNumberFormat="1" applyFont="1" applyFill="1" applyBorder="1" applyAlignment="1" applyProtection="1">
      <alignment horizontal="left" vertical="center" wrapText="1"/>
    </xf>
    <xf numFmtId="0" fontId="0" fillId="2" borderId="0" xfId="0" applyFill="1" applyAlignment="1">
      <alignment horizontal="left" wrapText="1"/>
    </xf>
    <xf numFmtId="0" fontId="20" fillId="20" borderId="22" xfId="0" applyFont="1" applyFill="1" applyBorder="1" applyAlignment="1">
      <alignment horizontal="center" vertical="center" wrapText="1"/>
    </xf>
    <xf numFmtId="4" fontId="21" fillId="18" borderId="2" xfId="1" applyNumberFormat="1" applyFont="1" applyFill="1" applyBorder="1" applyAlignment="1" applyProtection="1">
      <alignment horizontal="left" vertical="center" wrapText="1"/>
    </xf>
    <xf numFmtId="0" fontId="20" fillId="20" borderId="1" xfId="0" applyFont="1" applyFill="1" applyBorder="1" applyAlignment="1">
      <alignment horizontal="center" vertical="center" wrapText="1"/>
    </xf>
    <xf numFmtId="0" fontId="20" fillId="20" borderId="2" xfId="0" applyFont="1" applyFill="1" applyBorder="1" applyAlignment="1">
      <alignment horizontal="center" vertical="center" wrapText="1"/>
    </xf>
    <xf numFmtId="0" fontId="20" fillId="20" borderId="3" xfId="0" applyFont="1" applyFill="1" applyBorder="1" applyAlignment="1">
      <alignment horizontal="center" vertical="center" wrapText="1"/>
    </xf>
    <xf numFmtId="0" fontId="10" fillId="0" borderId="27" xfId="0" applyFont="1" applyBorder="1" applyAlignment="1">
      <alignment horizontal="center" vertical="center" wrapText="1"/>
    </xf>
    <xf numFmtId="0" fontId="10" fillId="0" borderId="16" xfId="0" applyFont="1" applyBorder="1" applyAlignment="1">
      <alignment horizontal="center" vertical="center" wrapText="1"/>
    </xf>
    <xf numFmtId="0" fontId="20" fillId="20" borderId="4"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1" fillId="2" borderId="26"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 fillId="2" borderId="0" xfId="0" applyFont="1" applyFill="1" applyAlignment="1">
      <alignment horizontal="center" wrapText="1"/>
    </xf>
    <xf numFmtId="0" fontId="1" fillId="2" borderId="0" xfId="0" applyFont="1" applyFill="1" applyAlignment="1">
      <alignment horizontal="center" vertical="center" wrapText="1"/>
    </xf>
    <xf numFmtId="0" fontId="1" fillId="16" borderId="0" xfId="0" applyFont="1" applyFill="1" applyAlignment="1" applyProtection="1">
      <alignment horizontal="left" vertical="center" wrapText="1"/>
      <protection locked="0"/>
    </xf>
    <xf numFmtId="0" fontId="28" fillId="22" borderId="4" xfId="0" applyFont="1" applyFill="1" applyBorder="1" applyAlignment="1">
      <alignment horizontal="center" vertical="center" wrapText="1"/>
    </xf>
    <xf numFmtId="4" fontId="21" fillId="18" borderId="1" xfId="1" applyNumberFormat="1" applyFont="1" applyFill="1" applyBorder="1" applyAlignment="1">
      <alignment horizontal="left" vertical="center" wrapText="1"/>
    </xf>
    <xf numFmtId="4" fontId="21" fillId="18" borderId="2" xfId="1" applyNumberFormat="1" applyFont="1" applyFill="1" applyBorder="1" applyAlignment="1">
      <alignment horizontal="left" vertical="center" wrapText="1"/>
    </xf>
    <xf numFmtId="4" fontId="21" fillId="18" borderId="3" xfId="1" applyNumberFormat="1" applyFont="1" applyFill="1" applyBorder="1" applyAlignment="1">
      <alignment horizontal="left" vertical="center" wrapText="1"/>
    </xf>
    <xf numFmtId="0" fontId="21" fillId="18" borderId="0" xfId="1" applyFont="1" applyFill="1" applyAlignment="1" applyProtection="1">
      <alignment horizontal="center" vertical="center" wrapText="1"/>
      <protection locked="0"/>
    </xf>
    <xf numFmtId="0" fontId="30" fillId="16" borderId="0" xfId="0" applyFont="1" applyFill="1" applyAlignment="1" applyProtection="1">
      <alignment horizontal="left" vertical="center" wrapText="1"/>
      <protection locked="0"/>
    </xf>
    <xf numFmtId="0" fontId="33" fillId="22" borderId="4" xfId="0" applyFont="1" applyFill="1" applyBorder="1" applyAlignment="1">
      <alignment horizontal="center" vertical="center" wrapText="1"/>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180976</xdr:colOff>
      <xdr:row>0</xdr:row>
      <xdr:rowOff>152400</xdr:rowOff>
    </xdr:from>
    <xdr:to>
      <xdr:col>4</xdr:col>
      <xdr:colOff>734833</xdr:colOff>
      <xdr:row>4</xdr:row>
      <xdr:rowOff>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00051" y="152400"/>
          <a:ext cx="7383282" cy="609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yectos/3061448_INNOVA_2325/AKIS/07_FORMULARIOS/FORMACI&#211;N/OBSOLETOS/SOLICITUD_AKIS%20FORMACION_20241220_con%20pesta&#241;as%20xml.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yectos/3061448_INNOVA_2325/AKIS/05_EXPEDIENTES_ASESORAMIENTO/2024/05_MODIFICACIONES/CALCULOS_MOD%20XX_ASESOR_(NOMBRE%20ENTIDAD)_2025XXXX.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GENERALE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oyectos/3061448_INNOVA_2325/AKIS/07_FORMULARIOS/ASESORAMIENTO/SOLICITUD_AKIS_ASESOR_2024112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ES "/>
      <sheetName val="DATOS GENERALES"/>
      <sheetName val="Tablas "/>
      <sheetName val="XML-ListadoSolicitudes"/>
      <sheetName val="XML-Solicitante-Agrupacion"/>
      <sheetName val="XML-Solicitante-Ent"/>
      <sheetName val="PRESUPUESTO P.I.A-Agrupación"/>
      <sheetName val="PRESUPUESTO P.I.B-Agrupación"/>
      <sheetName val="PRESUPUESTO P.I.C.1-Agrupación"/>
      <sheetName val="PRESUPUESTO P.I.C.2-Agrupación"/>
      <sheetName val="PRESUPUESTO P.II.A-Agrupación"/>
      <sheetName val="PRESUPUESTO P.II.B-Agrupación"/>
      <sheetName val="PRESUPUESTO P.I.A-Entidad"/>
      <sheetName val="PRESUPUESTO P.I.B-Entidad"/>
      <sheetName val="PRESUPUESTO P.I.C.1-Entidad"/>
      <sheetName val="PRESUPUESTO P.I.C.2-Entidad"/>
      <sheetName val="PRESUPUESTO P.II.A-Entidad"/>
      <sheetName val="PRESUPUESTO P.II.B-Entidad"/>
      <sheetName val="RESUMEN-Agrupación"/>
      <sheetName val="RESUMEN-Entidad"/>
      <sheetName val="RESUMIDO-P.I.A-Agrupación"/>
      <sheetName val="RESUMIDO-P.I.B-Agrupación"/>
      <sheetName val="RESUMIDO-P.I.C.1-Agrupación"/>
      <sheetName val="RESUMIDO-P.I.C.2-Agrupación"/>
      <sheetName val="RESUMIDO-P.II.A-Agrupación"/>
      <sheetName val="RESUMIDO-P.II.B-Agrupación"/>
      <sheetName val="RESUMIDO-P.I.A-Entidad"/>
      <sheetName val="RESUMIDO-P.I.B-Entidad"/>
      <sheetName val="RESUMIDO-P.I.C.1-Entidad"/>
      <sheetName val="RESUMIDO-P.I.C.2-Entidad"/>
      <sheetName val="RESUMIDO-P.II.A-Entidad"/>
      <sheetName val="RESUMIDO-P.II.B-Entidad"/>
      <sheetName val="FICHA-P.I.A-Agrupación"/>
      <sheetName val="FICHA-P.I.B-Agrupación"/>
      <sheetName val="FICHA-P.I.C.1-Agrupación"/>
      <sheetName val="FICHA-P.I.C.2-Agrupación"/>
      <sheetName val="FICHA-P.II.A-Agrupación"/>
      <sheetName val="FICHA-P.II.B-Agrupación"/>
      <sheetName val="FICHA-P.I.A-Entidad"/>
      <sheetName val="FICHA-P.I.B-Entidad"/>
      <sheetName val="FICHA-P.I.C.1-Entidad"/>
      <sheetName val="FICHA-P.I.C.2-Entidad"/>
      <sheetName val="FICHA-P.II.A-Entidad"/>
      <sheetName val="FICHA-P.II.B-Entidad"/>
    </sheetNames>
    <sheetDataSet>
      <sheetData sheetId="0"/>
      <sheetData sheetId="1">
        <row r="5">
          <cell r="M5"/>
        </row>
      </sheetData>
      <sheetData sheetId="2">
        <row r="2">
          <cell r="J2" t="str">
            <v>Andalucía</v>
          </cell>
          <cell r="K2" t="str">
            <v>Aragón</v>
          </cell>
          <cell r="L2" t="str">
            <v>Principado de Asturias</v>
          </cell>
          <cell r="M2" t="str">
            <v>Islas Baleares</v>
          </cell>
          <cell r="N2" t="str">
            <v>Islas Canarias</v>
          </cell>
          <cell r="O2" t="str">
            <v>Cantabria</v>
          </cell>
          <cell r="P2" t="str">
            <v>Castilla y León</v>
          </cell>
          <cell r="Q2" t="str">
            <v>Castilla La Mancha</v>
          </cell>
          <cell r="R2" t="str">
            <v>Cataluña</v>
          </cell>
          <cell r="S2" t="str">
            <v>Comunidad Valenciana</v>
          </cell>
          <cell r="T2" t="str">
            <v>Extremadura</v>
          </cell>
          <cell r="U2" t="str">
            <v>Galicia</v>
          </cell>
          <cell r="V2" t="str">
            <v>Comunidad de Madrid</v>
          </cell>
          <cell r="W2" t="str">
            <v>Región de Murcia</v>
          </cell>
          <cell r="X2" t="str">
            <v>Comunidad Foral Navarra</v>
          </cell>
          <cell r="Y2" t="str">
            <v>País Vasco</v>
          </cell>
          <cell r="Z2" t="str">
            <v>La Rioja</v>
          </cell>
          <cell r="AA2" t="str">
            <v>Todas</v>
          </cell>
        </row>
        <row r="4">
          <cell r="A4" t="str">
            <v>Sí</v>
          </cell>
          <cell r="AB4" t="str">
            <v>Juridica</v>
          </cell>
          <cell r="AD4" t="str">
            <v>Si</v>
          </cell>
          <cell r="AF4" t="str">
            <v>1. Organización Profesional Agroalimentaria de ámbito nacional</v>
          </cell>
          <cell r="AH4">
            <v>2</v>
          </cell>
          <cell r="AJ4" t="str">
            <v xml:space="preserve">Publica </v>
          </cell>
          <cell r="BU4" t="str">
            <v>Sector agroalimentario</v>
          </cell>
        </row>
        <row r="5">
          <cell r="A5" t="str">
            <v>No</v>
          </cell>
          <cell r="AB5" t="str">
            <v>Física</v>
          </cell>
          <cell r="AD5" t="str">
            <v>No</v>
          </cell>
          <cell r="AF5" t="str">
            <v>2. Organización Profesional Agroalimentaria de ámbito autonómico o provincial</v>
          </cell>
          <cell r="AH5">
            <v>3</v>
          </cell>
          <cell r="AJ5" t="str">
            <v>Privada</v>
          </cell>
          <cell r="BU5" t="str">
            <v>Sector forestal</v>
          </cell>
        </row>
        <row r="6">
          <cell r="AD6" t="str">
            <v>Parcial</v>
          </cell>
          <cell r="AF6" t="str">
            <v>3. Profesional autónomo</v>
          </cell>
          <cell r="AH6">
            <v>4</v>
          </cell>
          <cell r="BU6" t="str">
            <v>Sectores agroalimentario y forestal</v>
          </cell>
        </row>
        <row r="7">
          <cell r="AF7" t="str">
            <v>4. Sociedad Cooperativa de primer nivel</v>
          </cell>
          <cell r="AH7">
            <v>5</v>
          </cell>
        </row>
        <row r="8">
          <cell r="AF8" t="str">
            <v>5. Sociedad agraria de transformación o SAT</v>
          </cell>
        </row>
        <row r="9">
          <cell r="AF9" t="str">
            <v>6. Entidad Asociativa prioritaria o EAP</v>
          </cell>
        </row>
        <row r="10">
          <cell r="AF10" t="str">
            <v>7. Federación de Cooperativas</v>
          </cell>
        </row>
        <row r="11">
          <cell r="AF11" t="str">
            <v>8. PYME tipo Sociedad Anónima o S.A.</v>
          </cell>
        </row>
        <row r="12">
          <cell r="AF12" t="str">
            <v>9. PYME tipo Sociedad Limitada o S.L.</v>
          </cell>
        </row>
        <row r="13">
          <cell r="AF13" t="str">
            <v>10. Gran empresa</v>
          </cell>
          <cell r="BS13" t="str">
            <v>España</v>
          </cell>
        </row>
        <row r="14">
          <cell r="AF14" t="str">
            <v>11. Universidad o Instituto de Investigación Público</v>
          </cell>
        </row>
        <row r="15">
          <cell r="AF15" t="str">
            <v>12. Universidad o Instituto de Investigación privado</v>
          </cell>
        </row>
        <row r="16">
          <cell r="AF16" t="str">
            <v>13. Centro Tecnológico</v>
          </cell>
        </row>
        <row r="17">
          <cell r="AF17" t="str">
            <v>14. Fundación o Asociación sin ánimo de lucro de ámbito nacional</v>
          </cell>
        </row>
        <row r="18">
          <cell r="AF18" t="str">
            <v>15. Fundación o Asociación sin ánimo de lucro de ámbito regional o provincial</v>
          </cell>
        </row>
        <row r="19">
          <cell r="AF19" t="str">
            <v>16. Organización de productores</v>
          </cell>
        </row>
        <row r="20">
          <cell r="AF20" t="str">
            <v>17. Asociación de Organizaciones de Productores</v>
          </cell>
        </row>
        <row r="21">
          <cell r="AF21" t="str">
            <v>18. Interprofesional agroalimentaria</v>
          </cell>
        </row>
        <row r="22">
          <cell r="AF22" t="str">
            <v>19. Cámara Agraria</v>
          </cell>
        </row>
        <row r="23">
          <cell r="AF23" t="str">
            <v>20. Grupo de Acción Local o GAL</v>
          </cell>
        </row>
        <row r="24">
          <cell r="AF24" t="str">
            <v>21. Otros</v>
          </cell>
        </row>
      </sheetData>
      <sheetData sheetId="3"/>
      <sheetData sheetId="4"/>
      <sheetData sheetId="5"/>
      <sheetData sheetId="6"/>
      <sheetData sheetId="7"/>
      <sheetData sheetId="8"/>
      <sheetData sheetId="9"/>
      <sheetData sheetId="10">
        <row r="8">
          <cell r="D8">
            <v>0</v>
          </cell>
        </row>
      </sheetData>
      <sheetData sheetId="11">
        <row r="9">
          <cell r="D9">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ES"/>
      <sheetName val="DATOS GENERALES"/>
      <sheetName val="PRESUPUESTO P.III"/>
      <sheetName val="PRESUPUESTO P.IV"/>
      <sheetName val="XML-ListadoSolicitudes"/>
      <sheetName val="XML-Solicitante"/>
      <sheetName val="Tablas"/>
      <sheetName val="RESUMEN"/>
      <sheetName val="RESUMIDO P.III"/>
      <sheetName val="RESUMIDO P.IV"/>
      <sheetName val="FICHA-P.III"/>
      <sheetName val="FICHA-P.IV"/>
      <sheetName val="CALCULOS_MOD XX_ASESOR_(NOMBRE "/>
    </sheetNames>
    <sheetDataSet>
      <sheetData sheetId="0"/>
      <sheetData sheetId="1"/>
      <sheetData sheetId="2"/>
      <sheetData sheetId="3"/>
      <sheetData sheetId="4"/>
      <sheetData sheetId="5"/>
      <sheetData sheetId="6">
        <row r="2">
          <cell r="H2" t="str">
            <v>1. Ganadería</v>
          </cell>
          <cell r="I2" t="str">
            <v>2. Agricultura</v>
          </cell>
          <cell r="J2" t="str">
            <v>3. Industria Agroalimentaria</v>
          </cell>
          <cell r="K2" t="str">
            <v>4. Forestal</v>
          </cell>
          <cell r="L2" t="str">
            <v>5. Regadíos</v>
          </cell>
          <cell r="M2" t="str">
            <v>6. Otros / Desarrollo rural</v>
          </cell>
          <cell r="O2" t="str">
            <v>7. Ganadería</v>
          </cell>
          <cell r="P2" t="str">
            <v>8. Agricultura</v>
          </cell>
          <cell r="Q2" t="str">
            <v>9. Industria Agroalimentaria</v>
          </cell>
          <cell r="R2" t="str">
            <v>10. Forestal</v>
          </cell>
          <cell r="S2" t="str">
            <v>11. Regadíos</v>
          </cell>
          <cell r="T2" t="str">
            <v>12. Otros / Desarrollo rural</v>
          </cell>
        </row>
        <row r="4">
          <cell r="F4" t="str">
            <v>Productos incluidos en el Anexo I del TFUE</v>
          </cell>
          <cell r="W4" t="str">
            <v>1. Organización Profesional Agroalimentaria de ámbito nacional</v>
          </cell>
          <cell r="BA4" t="str">
            <v>Ninguna</v>
          </cell>
          <cell r="BC4" t="str">
            <v>Sí</v>
          </cell>
          <cell r="BE4" t="str">
            <v>Alemania</v>
          </cell>
        </row>
        <row r="5">
          <cell r="F5" t="str">
            <v>Productos forestales fuera del ANEXO I del TFUE</v>
          </cell>
          <cell r="W5" t="str">
            <v>2. Organización Profesional Agroalimentaria de ámbito autonómico o provincial</v>
          </cell>
          <cell r="BA5" t="str">
            <v>Bienes inventariables</v>
          </cell>
          <cell r="BC5" t="str">
            <v>No</v>
          </cell>
          <cell r="BE5" t="str">
            <v>Austria</v>
          </cell>
        </row>
        <row r="6">
          <cell r="F6" t="str">
            <v xml:space="preserve">Productos incluidos en el Anexo I del TFUE y productos forestales fuera del ANEXO I del TFUE </v>
          </cell>
          <cell r="W6" t="str">
            <v>3. Profesional autónomo</v>
          </cell>
          <cell r="BA6" t="str">
            <v>Otras inversiones</v>
          </cell>
          <cell r="BC6" t="str">
            <v>Parcial</v>
          </cell>
          <cell r="BE6" t="str">
            <v>Bélgica</v>
          </cell>
        </row>
        <row r="7">
          <cell r="W7" t="str">
            <v>4. Sociedad Cooperativa de primer nivel</v>
          </cell>
          <cell r="BA7" t="str">
            <v>Ambos tipos de inversiones</v>
          </cell>
          <cell r="BE7" t="str">
            <v>Bulgaria</v>
          </cell>
        </row>
        <row r="8">
          <cell r="W8" t="str">
            <v>5. Sociedad agraria de transformación o SAT</v>
          </cell>
          <cell r="BE8" t="str">
            <v>Chipre</v>
          </cell>
        </row>
        <row r="9">
          <cell r="W9" t="str">
            <v>6. Entidad Asociativa prioritaria o EAP</v>
          </cell>
          <cell r="BE9" t="str">
            <v>Croacia</v>
          </cell>
        </row>
        <row r="10">
          <cell r="W10" t="str">
            <v>7. Federación de Cooperativas</v>
          </cell>
          <cell r="BE10" t="str">
            <v>Dinamarca</v>
          </cell>
        </row>
        <row r="11">
          <cell r="W11" t="str">
            <v>8. PYME tipo Sociedad Anónima o S.A.</v>
          </cell>
          <cell r="BE11" t="str">
            <v>Eslovaquia</v>
          </cell>
        </row>
        <row r="12">
          <cell r="W12" t="str">
            <v>9. PYME tipo Sociedad Limitada o S.L.</v>
          </cell>
          <cell r="BE12" t="str">
            <v>Eslovenia</v>
          </cell>
        </row>
        <row r="13">
          <cell r="W13" t="str">
            <v>10. Gran empresa</v>
          </cell>
          <cell r="BE13" t="str">
            <v>España</v>
          </cell>
        </row>
        <row r="14">
          <cell r="W14" t="str">
            <v>11. Universidad o Instituto de Investigación Público</v>
          </cell>
          <cell r="BE14" t="str">
            <v>Estonia</v>
          </cell>
        </row>
        <row r="15">
          <cell r="W15" t="str">
            <v>12. Universidad o Instituto de Investigación privado</v>
          </cell>
          <cell r="BE15" t="str">
            <v>Finlandia</v>
          </cell>
        </row>
        <row r="16">
          <cell r="W16" t="str">
            <v>13. Centro Tecnológico</v>
          </cell>
          <cell r="BE16" t="str">
            <v>Francia</v>
          </cell>
        </row>
        <row r="17">
          <cell r="W17" t="str">
            <v>14. Fundación o Asociación sin ánimo de lucro de ámbito nacional</v>
          </cell>
          <cell r="BE17" t="str">
            <v>Grecia</v>
          </cell>
        </row>
        <row r="18">
          <cell r="W18" t="str">
            <v>15. Fundación o Asociación sin ánimo de lucro de ámbito regional o provincial</v>
          </cell>
          <cell r="BE18" t="str">
            <v>Hungria</v>
          </cell>
        </row>
        <row r="19">
          <cell r="W19" t="str">
            <v>16. Organización de productores</v>
          </cell>
          <cell r="BE19" t="str">
            <v>Irlanda</v>
          </cell>
        </row>
        <row r="20">
          <cell r="W20" t="str">
            <v>17. Asociación de Organizaciones de Productores</v>
          </cell>
          <cell r="BE20" t="str">
            <v>Italia</v>
          </cell>
        </row>
        <row r="21">
          <cell r="W21" t="str">
            <v>18. Interprofesional agroalimentaria</v>
          </cell>
          <cell r="BE21" t="str">
            <v>Letonia</v>
          </cell>
        </row>
        <row r="22">
          <cell r="W22" t="str">
            <v>19. Cámara Agraria</v>
          </cell>
          <cell r="BE22" t="str">
            <v>Luxemburgo</v>
          </cell>
        </row>
        <row r="23">
          <cell r="W23" t="str">
            <v>20. Grupo de Acción Local o GAL</v>
          </cell>
          <cell r="BE23" t="str">
            <v>Malta</v>
          </cell>
        </row>
        <row r="24">
          <cell r="W24" t="str">
            <v>21. Otros</v>
          </cell>
          <cell r="BE24" t="str">
            <v>Países Bajos</v>
          </cell>
        </row>
        <row r="25">
          <cell r="BE25" t="str">
            <v>Polonia</v>
          </cell>
        </row>
        <row r="26">
          <cell r="BE26" t="str">
            <v>Portugal</v>
          </cell>
        </row>
        <row r="27">
          <cell r="BE27" t="str">
            <v>Reino Unido</v>
          </cell>
        </row>
        <row r="28">
          <cell r="BE28" t="str">
            <v>República Checa</v>
          </cell>
        </row>
        <row r="29">
          <cell r="BE29" t="str">
            <v>Rumanía</v>
          </cell>
        </row>
        <row r="30">
          <cell r="BE30" t="str">
            <v>Suecia</v>
          </cell>
        </row>
        <row r="31">
          <cell r="BE31" t="str">
            <v>Otro País</v>
          </cell>
        </row>
      </sheetData>
      <sheetData sheetId="7"/>
      <sheetData sheetId="8"/>
      <sheetData sheetId="9"/>
      <sheetData sheetId="10"/>
      <sheetData sheetId="1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E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ES"/>
      <sheetName val="DATOS GENERALES"/>
      <sheetName val="PRESUPUESTO P.III"/>
      <sheetName val="PRESUPUESTO P.IV"/>
      <sheetName val="XML-ListadoSolicitudes"/>
      <sheetName val="XML-Solicitante"/>
      <sheetName val="Tablas"/>
      <sheetName val="RESUMEN"/>
      <sheetName val="RESUMIDO P.III"/>
      <sheetName val="RESUMIDO P.IV"/>
      <sheetName val="FICHA-P.III"/>
      <sheetName val="FICHA-P.IV"/>
    </sheetNames>
    <sheetDataSet>
      <sheetData sheetId="0"/>
      <sheetData sheetId="1"/>
      <sheetData sheetId="2"/>
      <sheetData sheetId="3"/>
      <sheetData sheetId="4"/>
      <sheetData sheetId="5"/>
      <sheetData sheetId="6">
        <row r="4">
          <cell r="BG4" t="str">
            <v>Albacete</v>
          </cell>
        </row>
        <row r="5">
          <cell r="BG5" t="str">
            <v>Alicante/Alacant</v>
          </cell>
        </row>
        <row r="6">
          <cell r="BG6" t="str">
            <v>Almería</v>
          </cell>
        </row>
        <row r="7">
          <cell r="BG7" t="str">
            <v>Araba/Álava</v>
          </cell>
        </row>
        <row r="8">
          <cell r="BG8" t="str">
            <v>Asturias</v>
          </cell>
        </row>
        <row r="9">
          <cell r="BG9" t="str">
            <v>Ávila</v>
          </cell>
        </row>
        <row r="10">
          <cell r="BG10" t="str">
            <v>Badajoz</v>
          </cell>
        </row>
        <row r="11">
          <cell r="BG11" t="str">
            <v>Baleares, Islas</v>
          </cell>
        </row>
        <row r="12">
          <cell r="BG12" t="str">
            <v>Barcelona</v>
          </cell>
        </row>
        <row r="13">
          <cell r="BG13" t="str">
            <v>Bizkaia</v>
          </cell>
        </row>
        <row r="14">
          <cell r="BG14" t="str">
            <v>Burgos</v>
          </cell>
        </row>
        <row r="15">
          <cell r="BG15" t="str">
            <v>Cáceres</v>
          </cell>
        </row>
        <row r="16">
          <cell r="BG16" t="str">
            <v>Cádiz</v>
          </cell>
        </row>
        <row r="17">
          <cell r="BG17" t="str">
            <v>Cantabria</v>
          </cell>
        </row>
        <row r="18">
          <cell r="BG18" t="str">
            <v>Castellón/Castelló</v>
          </cell>
        </row>
        <row r="19">
          <cell r="BG19" t="str">
            <v>Ciudad Real</v>
          </cell>
        </row>
        <row r="20">
          <cell r="BG20" t="str">
            <v>Córdoba</v>
          </cell>
        </row>
        <row r="21">
          <cell r="BG21" t="str">
            <v>Coruña, A</v>
          </cell>
        </row>
        <row r="22">
          <cell r="BG22" t="str">
            <v>Cuenca</v>
          </cell>
        </row>
        <row r="23">
          <cell r="BG23" t="str">
            <v>Gipuzkoa</v>
          </cell>
        </row>
        <row r="24">
          <cell r="BG24" t="str">
            <v>Girona</v>
          </cell>
        </row>
        <row r="25">
          <cell r="BG25" t="str">
            <v>Granada</v>
          </cell>
        </row>
        <row r="26">
          <cell r="BG26" t="str">
            <v>Guadalajara</v>
          </cell>
        </row>
        <row r="27">
          <cell r="BG27" t="str">
            <v>Huelva</v>
          </cell>
        </row>
        <row r="28">
          <cell r="BG28" t="str">
            <v>Huesca</v>
          </cell>
        </row>
        <row r="29">
          <cell r="BG29" t="str">
            <v>Jaén</v>
          </cell>
        </row>
        <row r="30">
          <cell r="BG30" t="str">
            <v>León</v>
          </cell>
        </row>
        <row r="31">
          <cell r="BG31" t="str">
            <v>Lleida</v>
          </cell>
        </row>
        <row r="32">
          <cell r="BG32" t="str">
            <v>Lugo</v>
          </cell>
        </row>
        <row r="33">
          <cell r="BG33" t="str">
            <v>Madrid</v>
          </cell>
        </row>
        <row r="34">
          <cell r="BG34" t="str">
            <v>Málaga</v>
          </cell>
        </row>
        <row r="35">
          <cell r="BG35" t="str">
            <v>Murcia</v>
          </cell>
        </row>
        <row r="36">
          <cell r="BG36" t="str">
            <v>Navarra</v>
          </cell>
        </row>
        <row r="37">
          <cell r="BG37" t="str">
            <v>Ourense</v>
          </cell>
        </row>
        <row r="38">
          <cell r="BG38" t="str">
            <v>Palencia</v>
          </cell>
        </row>
        <row r="39">
          <cell r="BG39" t="str">
            <v>Palmas, Las</v>
          </cell>
        </row>
        <row r="40">
          <cell r="BG40" t="str">
            <v>Pontevedra</v>
          </cell>
        </row>
        <row r="41">
          <cell r="BG41" t="str">
            <v>Rioja, La</v>
          </cell>
        </row>
        <row r="42">
          <cell r="BG42" t="str">
            <v>Salamanca</v>
          </cell>
        </row>
        <row r="43">
          <cell r="BG43" t="str">
            <v>Santa Cruz de Tenerife</v>
          </cell>
        </row>
        <row r="44">
          <cell r="BG44" t="str">
            <v>Segovia</v>
          </cell>
        </row>
        <row r="45">
          <cell r="BG45" t="str">
            <v>Sevilla</v>
          </cell>
        </row>
        <row r="46">
          <cell r="BG46" t="str">
            <v>Soria</v>
          </cell>
        </row>
        <row r="47">
          <cell r="BG47" t="str">
            <v>Tarragona</v>
          </cell>
        </row>
        <row r="48">
          <cell r="BG48" t="str">
            <v>Teruel</v>
          </cell>
        </row>
        <row r="49">
          <cell r="BG49" t="str">
            <v>Toledo</v>
          </cell>
        </row>
        <row r="50">
          <cell r="BG50" t="str">
            <v>Valencia/València</v>
          </cell>
        </row>
        <row r="51">
          <cell r="BG51" t="str">
            <v>Valladolid</v>
          </cell>
        </row>
        <row r="52">
          <cell r="BG52" t="str">
            <v>Zamora</v>
          </cell>
        </row>
        <row r="53">
          <cell r="BG53" t="str">
            <v>Zaragoza</v>
          </cell>
        </row>
      </sheetData>
      <sheetData sheetId="7"/>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3"/>
  <sheetViews>
    <sheetView topLeftCell="A46" zoomScale="85" zoomScaleNormal="85" workbookViewId="0">
      <selection activeCell="T7" sqref="T7"/>
    </sheetView>
  </sheetViews>
  <sheetFormatPr baseColWidth="10" defaultRowHeight="15" x14ac:dyDescent="0.25"/>
  <cols>
    <col min="1" max="1" width="37" style="33" customWidth="1"/>
    <col min="2" max="4" width="10.28515625" style="33" customWidth="1"/>
    <col min="5" max="5" width="1" style="33" customWidth="1"/>
    <col min="6" max="6" width="37" style="33" customWidth="1"/>
    <col min="7" max="9" width="10.140625" style="33" customWidth="1"/>
    <col min="10" max="10" width="1.140625" style="33" customWidth="1"/>
    <col min="11" max="11" width="36.28515625" style="33" customWidth="1"/>
    <col min="12" max="14" width="11.5703125" style="33" customWidth="1"/>
    <col min="15" max="15" width="3.42578125" style="33" customWidth="1"/>
    <col min="16" max="17" width="11.42578125" style="33"/>
    <col min="18" max="18" width="11.42578125" style="32"/>
    <col min="19" max="16384" width="11.42578125" style="33"/>
  </cols>
  <sheetData>
    <row r="1" spans="1:18" x14ac:dyDescent="0.25">
      <c r="A1" s="32" t="s">
        <v>33</v>
      </c>
      <c r="C1" s="32" t="s">
        <v>61</v>
      </c>
    </row>
    <row r="2" spans="1:18" x14ac:dyDescent="0.25">
      <c r="A2" s="32" t="s">
        <v>23</v>
      </c>
      <c r="B2" s="33" t="s">
        <v>26</v>
      </c>
      <c r="C2" s="32" t="s">
        <v>29</v>
      </c>
      <c r="D2" s="33" t="s">
        <v>30</v>
      </c>
      <c r="P2" s="40"/>
      <c r="Q2" s="33" t="s">
        <v>64</v>
      </c>
    </row>
    <row r="3" spans="1:18" x14ac:dyDescent="0.25">
      <c r="A3" s="32" t="s">
        <v>24</v>
      </c>
      <c r="B3" s="33" t="s">
        <v>27</v>
      </c>
      <c r="C3" s="32" t="s">
        <v>31</v>
      </c>
      <c r="D3" s="33" t="s">
        <v>38</v>
      </c>
    </row>
    <row r="4" spans="1:18" x14ac:dyDescent="0.25">
      <c r="A4" s="32" t="s">
        <v>25</v>
      </c>
      <c r="B4" s="33" t="s">
        <v>28</v>
      </c>
      <c r="C4" s="32" t="s">
        <v>32</v>
      </c>
      <c r="D4" s="33" t="s">
        <v>39</v>
      </c>
    </row>
    <row r="6" spans="1:18" ht="15.75" thickBot="1" x14ac:dyDescent="0.3">
      <c r="A6" s="32" t="s">
        <v>41</v>
      </c>
      <c r="F6" s="32" t="s">
        <v>42</v>
      </c>
      <c r="J6" s="32"/>
      <c r="K6" s="32" t="s">
        <v>47</v>
      </c>
      <c r="P6" s="32" t="s">
        <v>52</v>
      </c>
    </row>
    <row r="7" spans="1:18" ht="15.75" customHeight="1" thickBot="1" x14ac:dyDescent="0.3">
      <c r="A7" s="12"/>
      <c r="B7" s="186" t="s">
        <v>10</v>
      </c>
      <c r="C7" s="187"/>
      <c r="D7" s="188"/>
      <c r="F7" s="1"/>
      <c r="G7" s="189" t="s">
        <v>10</v>
      </c>
      <c r="H7" s="190"/>
      <c r="I7" s="191"/>
      <c r="K7" s="12"/>
      <c r="L7" s="186" t="s">
        <v>10</v>
      </c>
      <c r="M7" s="187"/>
      <c r="N7" s="188"/>
    </row>
    <row r="8" spans="1:18" ht="24" customHeight="1" thickBot="1" x14ac:dyDescent="0.3">
      <c r="A8" s="14"/>
      <c r="B8" s="15" t="s">
        <v>0</v>
      </c>
      <c r="C8" s="15" t="s">
        <v>11</v>
      </c>
      <c r="D8" s="15" t="s">
        <v>12</v>
      </c>
      <c r="F8" s="2"/>
      <c r="G8" s="3" t="s">
        <v>0</v>
      </c>
      <c r="H8" s="3" t="s">
        <v>11</v>
      </c>
      <c r="I8" s="3" t="s">
        <v>12</v>
      </c>
      <c r="K8" s="14"/>
      <c r="L8" s="15" t="s">
        <v>0</v>
      </c>
      <c r="M8" s="15" t="s">
        <v>11</v>
      </c>
      <c r="N8" s="15" t="s">
        <v>12</v>
      </c>
      <c r="P8" s="29" t="s">
        <v>0</v>
      </c>
      <c r="Q8" s="29" t="s">
        <v>11</v>
      </c>
      <c r="R8" s="29" t="s">
        <v>12</v>
      </c>
    </row>
    <row r="9" spans="1:18" ht="18.75" customHeight="1" thickBot="1" x14ac:dyDescent="0.3">
      <c r="A9" s="4" t="s">
        <v>1</v>
      </c>
      <c r="B9" s="30">
        <v>0</v>
      </c>
      <c r="C9" s="5">
        <v>0</v>
      </c>
      <c r="D9" s="5">
        <v>0</v>
      </c>
      <c r="F9" s="4" t="s">
        <v>1</v>
      </c>
      <c r="G9" s="5">
        <v>1350</v>
      </c>
      <c r="H9" s="5">
        <v>0</v>
      </c>
      <c r="I9" s="5">
        <v>1350</v>
      </c>
      <c r="K9" s="4" t="s">
        <v>1</v>
      </c>
      <c r="L9" s="5">
        <v>0</v>
      </c>
      <c r="M9" s="5">
        <v>0</v>
      </c>
      <c r="N9" s="5">
        <v>0</v>
      </c>
      <c r="P9" s="38">
        <f>B9+G9+L9</f>
        <v>1350</v>
      </c>
      <c r="Q9" s="34">
        <f t="shared" ref="Q9:R9" si="0">C9+H9+M9</f>
        <v>0</v>
      </c>
      <c r="R9" s="35">
        <f t="shared" si="0"/>
        <v>1350</v>
      </c>
    </row>
    <row r="10" spans="1:18" ht="18.75" customHeight="1" thickBot="1" x14ac:dyDescent="0.3">
      <c r="A10" s="4" t="s">
        <v>13</v>
      </c>
      <c r="B10" s="30">
        <v>0</v>
      </c>
      <c r="C10" s="5">
        <v>0</v>
      </c>
      <c r="D10" s="5">
        <v>0</v>
      </c>
      <c r="F10" s="4" t="s">
        <v>13</v>
      </c>
      <c r="G10" s="5">
        <v>0</v>
      </c>
      <c r="H10" s="5">
        <v>0</v>
      </c>
      <c r="I10" s="5">
        <v>0</v>
      </c>
      <c r="K10" s="4" t="s">
        <v>13</v>
      </c>
      <c r="L10" s="5">
        <v>0</v>
      </c>
      <c r="M10" s="5">
        <v>0</v>
      </c>
      <c r="N10" s="5">
        <v>0</v>
      </c>
      <c r="P10" s="38">
        <f t="shared" ref="P10:P24" si="1">B10+G10+L10</f>
        <v>0</v>
      </c>
      <c r="Q10" s="34">
        <f t="shared" ref="Q10:Q24" si="2">C10+H10+M10</f>
        <v>0</v>
      </c>
      <c r="R10" s="35">
        <f t="shared" ref="R10:R24" si="3">D10+I10+N10</f>
        <v>0</v>
      </c>
    </row>
    <row r="11" spans="1:18" ht="18.75" customHeight="1" thickBot="1" x14ac:dyDescent="0.3">
      <c r="A11" s="4" t="s">
        <v>14</v>
      </c>
      <c r="B11" s="30">
        <v>559.6</v>
      </c>
      <c r="C11" s="5">
        <v>0</v>
      </c>
      <c r="D11" s="5">
        <v>559.6</v>
      </c>
      <c r="F11" s="4" t="s">
        <v>14</v>
      </c>
      <c r="G11" s="5">
        <v>6978.2</v>
      </c>
      <c r="H11" s="5">
        <v>0</v>
      </c>
      <c r="I11" s="5">
        <v>6978.2</v>
      </c>
      <c r="K11" s="4" t="s">
        <v>14</v>
      </c>
      <c r="L11" s="5">
        <v>446</v>
      </c>
      <c r="M11" s="5">
        <v>0</v>
      </c>
      <c r="N11" s="5">
        <v>446</v>
      </c>
      <c r="P11" s="38">
        <f t="shared" si="1"/>
        <v>7983.8</v>
      </c>
      <c r="Q11" s="34">
        <f t="shared" si="2"/>
        <v>0</v>
      </c>
      <c r="R11" s="35">
        <f t="shared" si="3"/>
        <v>7983.8</v>
      </c>
    </row>
    <row r="12" spans="1:18" ht="18.75" customHeight="1" thickBot="1" x14ac:dyDescent="0.3">
      <c r="A12" s="16" t="s">
        <v>2</v>
      </c>
      <c r="B12" s="21">
        <v>559.6</v>
      </c>
      <c r="C12" s="21">
        <v>0</v>
      </c>
      <c r="D12" s="21">
        <v>559.6</v>
      </c>
      <c r="F12" s="6" t="s">
        <v>2</v>
      </c>
      <c r="G12" s="7">
        <v>8328.2000000000007</v>
      </c>
      <c r="H12" s="7">
        <v>0</v>
      </c>
      <c r="I12" s="7">
        <v>8328.2000000000007</v>
      </c>
      <c r="K12" s="16" t="s">
        <v>2</v>
      </c>
      <c r="L12" s="17">
        <v>446</v>
      </c>
      <c r="M12" s="17">
        <v>0</v>
      </c>
      <c r="N12" s="17">
        <v>446</v>
      </c>
      <c r="P12" s="29">
        <f t="shared" si="1"/>
        <v>9333.8000000000011</v>
      </c>
      <c r="Q12" s="29">
        <f t="shared" si="2"/>
        <v>0</v>
      </c>
      <c r="R12" s="29">
        <f t="shared" si="3"/>
        <v>9333.8000000000011</v>
      </c>
    </row>
    <row r="13" spans="1:18" ht="18.75" customHeight="1" thickBot="1" x14ac:dyDescent="0.3">
      <c r="A13" s="4" t="s">
        <v>15</v>
      </c>
      <c r="B13" s="30">
        <v>960.6</v>
      </c>
      <c r="C13" s="30">
        <v>0</v>
      </c>
      <c r="D13" s="5">
        <v>960.6</v>
      </c>
      <c r="F13" s="4" t="s">
        <v>15</v>
      </c>
      <c r="G13" s="5">
        <v>2997</v>
      </c>
      <c r="H13" s="5">
        <v>0</v>
      </c>
      <c r="I13" s="5">
        <v>2997</v>
      </c>
      <c r="K13" s="4" t="s">
        <v>15</v>
      </c>
      <c r="L13" s="5">
        <v>1415.56</v>
      </c>
      <c r="M13" s="5">
        <v>0</v>
      </c>
      <c r="N13" s="5">
        <v>1415.56</v>
      </c>
      <c r="P13" s="38">
        <f t="shared" si="1"/>
        <v>5373.16</v>
      </c>
      <c r="Q13" s="34">
        <f t="shared" si="2"/>
        <v>0</v>
      </c>
      <c r="R13" s="35">
        <f t="shared" si="3"/>
        <v>5373.16</v>
      </c>
    </row>
    <row r="14" spans="1:18" ht="18.75" customHeight="1" thickBot="1" x14ac:dyDescent="0.3">
      <c r="A14" s="4" t="s">
        <v>16</v>
      </c>
      <c r="B14" s="30">
        <v>0</v>
      </c>
      <c r="C14" s="30">
        <v>0</v>
      </c>
      <c r="D14" s="5">
        <v>0</v>
      </c>
      <c r="F14" s="4" t="s">
        <v>16</v>
      </c>
      <c r="G14" s="5">
        <v>0</v>
      </c>
      <c r="H14" s="5">
        <v>0</v>
      </c>
      <c r="I14" s="5">
        <v>0</v>
      </c>
      <c r="K14" s="4" t="s">
        <v>16</v>
      </c>
      <c r="L14" s="5">
        <v>0</v>
      </c>
      <c r="M14" s="5">
        <v>0</v>
      </c>
      <c r="N14" s="5">
        <v>0</v>
      </c>
      <c r="P14" s="38">
        <f t="shared" si="1"/>
        <v>0</v>
      </c>
      <c r="Q14" s="34">
        <f t="shared" si="2"/>
        <v>0</v>
      </c>
      <c r="R14" s="35">
        <f t="shared" si="3"/>
        <v>0</v>
      </c>
    </row>
    <row r="15" spans="1:18" ht="18.75" customHeight="1" thickBot="1" x14ac:dyDescent="0.3">
      <c r="A15" s="4" t="s">
        <v>3</v>
      </c>
      <c r="B15" s="30">
        <v>0</v>
      </c>
      <c r="C15" s="30">
        <v>0</v>
      </c>
      <c r="D15" s="5">
        <v>0</v>
      </c>
      <c r="F15" s="4" t="s">
        <v>3</v>
      </c>
      <c r="G15" s="5">
        <v>1300</v>
      </c>
      <c r="H15" s="5">
        <v>0</v>
      </c>
      <c r="I15" s="5">
        <v>1300</v>
      </c>
      <c r="K15" s="4" t="s">
        <v>3</v>
      </c>
      <c r="L15" s="5">
        <v>0</v>
      </c>
      <c r="M15" s="5">
        <v>0</v>
      </c>
      <c r="N15" s="5">
        <v>0</v>
      </c>
      <c r="P15" s="38">
        <f t="shared" si="1"/>
        <v>1300</v>
      </c>
      <c r="Q15" s="34">
        <f t="shared" si="2"/>
        <v>0</v>
      </c>
      <c r="R15" s="35">
        <f t="shared" si="3"/>
        <v>1300</v>
      </c>
    </row>
    <row r="16" spans="1:18" ht="18.75" customHeight="1" thickBot="1" x14ac:dyDescent="0.3">
      <c r="A16" s="4" t="s">
        <v>4</v>
      </c>
      <c r="B16" s="30">
        <v>0</v>
      </c>
      <c r="C16" s="30">
        <v>0</v>
      </c>
      <c r="D16" s="5">
        <v>0</v>
      </c>
      <c r="F16" s="4" t="s">
        <v>4</v>
      </c>
      <c r="G16" s="5">
        <v>130</v>
      </c>
      <c r="H16" s="5">
        <v>0</v>
      </c>
      <c r="I16" s="5">
        <v>130</v>
      </c>
      <c r="K16" s="4" t="s">
        <v>4</v>
      </c>
      <c r="L16" s="5">
        <v>0</v>
      </c>
      <c r="M16" s="5">
        <v>0</v>
      </c>
      <c r="N16" s="5">
        <v>0</v>
      </c>
      <c r="P16" s="38">
        <f t="shared" si="1"/>
        <v>130</v>
      </c>
      <c r="Q16" s="34">
        <f t="shared" si="2"/>
        <v>0</v>
      </c>
      <c r="R16" s="35">
        <f t="shared" si="3"/>
        <v>130</v>
      </c>
    </row>
    <row r="17" spans="1:18" ht="18.75" customHeight="1" thickBot="1" x14ac:dyDescent="0.3">
      <c r="A17" s="4" t="s">
        <v>17</v>
      </c>
      <c r="B17" s="30">
        <v>0</v>
      </c>
      <c r="C17" s="30">
        <v>0</v>
      </c>
      <c r="D17" s="5">
        <v>0</v>
      </c>
      <c r="F17" s="4" t="s">
        <v>17</v>
      </c>
      <c r="G17" s="5">
        <v>700</v>
      </c>
      <c r="H17" s="5">
        <v>0</v>
      </c>
      <c r="I17" s="5">
        <v>700</v>
      </c>
      <c r="K17" s="4" t="s">
        <v>17</v>
      </c>
      <c r="L17" s="5">
        <v>0</v>
      </c>
      <c r="M17" s="5">
        <v>0</v>
      </c>
      <c r="N17" s="5">
        <v>0</v>
      </c>
      <c r="P17" s="38">
        <f t="shared" si="1"/>
        <v>700</v>
      </c>
      <c r="Q17" s="34">
        <f t="shared" si="2"/>
        <v>0</v>
      </c>
      <c r="R17" s="35">
        <f t="shared" si="3"/>
        <v>700</v>
      </c>
    </row>
    <row r="18" spans="1:18" ht="18.75" customHeight="1" thickBot="1" x14ac:dyDescent="0.3">
      <c r="A18" s="4" t="s">
        <v>18</v>
      </c>
      <c r="B18" s="30">
        <v>0</v>
      </c>
      <c r="C18" s="30">
        <v>0</v>
      </c>
      <c r="D18" s="5">
        <v>0</v>
      </c>
      <c r="F18" s="4" t="s">
        <v>18</v>
      </c>
      <c r="G18" s="5">
        <v>35000</v>
      </c>
      <c r="H18" s="5">
        <v>0</v>
      </c>
      <c r="I18" s="5">
        <v>35000</v>
      </c>
      <c r="K18" s="4" t="s">
        <v>18</v>
      </c>
      <c r="L18" s="5">
        <v>0</v>
      </c>
      <c r="M18" s="5">
        <v>0</v>
      </c>
      <c r="N18" s="5">
        <v>0</v>
      </c>
      <c r="P18" s="38">
        <f t="shared" si="1"/>
        <v>35000</v>
      </c>
      <c r="Q18" s="34">
        <f t="shared" si="2"/>
        <v>0</v>
      </c>
      <c r="R18" s="35">
        <f t="shared" si="3"/>
        <v>35000</v>
      </c>
    </row>
    <row r="19" spans="1:18" ht="18.75" customHeight="1" thickBot="1" x14ac:dyDescent="0.3">
      <c r="A19" s="4" t="s">
        <v>5</v>
      </c>
      <c r="B19" s="30">
        <v>0</v>
      </c>
      <c r="C19" s="30">
        <v>0</v>
      </c>
      <c r="D19" s="5">
        <v>0</v>
      </c>
      <c r="F19" s="4" t="s">
        <v>5</v>
      </c>
      <c r="G19" s="5">
        <v>18000</v>
      </c>
      <c r="H19" s="5">
        <v>0</v>
      </c>
      <c r="I19" s="5">
        <v>18000</v>
      </c>
      <c r="K19" s="4" t="s">
        <v>5</v>
      </c>
      <c r="L19" s="5">
        <v>0</v>
      </c>
      <c r="M19" s="5">
        <v>0</v>
      </c>
      <c r="N19" s="5">
        <v>0</v>
      </c>
      <c r="P19" s="38">
        <f t="shared" si="1"/>
        <v>18000</v>
      </c>
      <c r="Q19" s="34">
        <f t="shared" si="2"/>
        <v>0</v>
      </c>
      <c r="R19" s="35">
        <f t="shared" si="3"/>
        <v>18000</v>
      </c>
    </row>
    <row r="20" spans="1:18" ht="18.75" customHeight="1" thickBot="1" x14ac:dyDescent="0.3">
      <c r="A20" s="16" t="s">
        <v>35</v>
      </c>
      <c r="B20" s="21">
        <v>960.6</v>
      </c>
      <c r="C20" s="21">
        <v>0</v>
      </c>
      <c r="D20" s="21">
        <v>960.6</v>
      </c>
      <c r="F20" s="6" t="s">
        <v>6</v>
      </c>
      <c r="G20" s="7">
        <v>58127</v>
      </c>
      <c r="H20" s="7">
        <v>0</v>
      </c>
      <c r="I20" s="7">
        <v>58127</v>
      </c>
      <c r="K20" s="16" t="s">
        <v>6</v>
      </c>
      <c r="L20" s="17">
        <v>1415.56</v>
      </c>
      <c r="M20" s="17">
        <v>0</v>
      </c>
      <c r="N20" s="17">
        <v>1415.56</v>
      </c>
      <c r="P20" s="29">
        <f t="shared" si="1"/>
        <v>60503.159999999996</v>
      </c>
      <c r="Q20" s="29">
        <f t="shared" si="2"/>
        <v>0</v>
      </c>
      <c r="R20" s="29">
        <f t="shared" si="3"/>
        <v>60503.159999999996</v>
      </c>
    </row>
    <row r="21" spans="1:18" ht="18.75" customHeight="1" thickBot="1" x14ac:dyDescent="0.3">
      <c r="A21" s="16" t="s">
        <v>7</v>
      </c>
      <c r="B21" s="21">
        <v>1520.2</v>
      </c>
      <c r="C21" s="21">
        <v>0</v>
      </c>
      <c r="D21" s="21">
        <v>1520.2</v>
      </c>
      <c r="F21" s="6" t="s">
        <v>19</v>
      </c>
      <c r="G21" s="7">
        <v>66455.199999999997</v>
      </c>
      <c r="H21" s="7">
        <v>0</v>
      </c>
      <c r="I21" s="7">
        <v>66455.199999999997</v>
      </c>
      <c r="K21" s="16" t="s">
        <v>19</v>
      </c>
      <c r="L21" s="17">
        <v>1861.56</v>
      </c>
      <c r="M21" s="17">
        <v>0</v>
      </c>
      <c r="N21" s="17">
        <v>1861.56</v>
      </c>
      <c r="P21" s="29">
        <f t="shared" si="1"/>
        <v>69836.959999999992</v>
      </c>
      <c r="Q21" s="29">
        <f t="shared" si="2"/>
        <v>0</v>
      </c>
      <c r="R21" s="29">
        <f t="shared" si="3"/>
        <v>69836.959999999992</v>
      </c>
    </row>
    <row r="22" spans="1:18" ht="21.75" customHeight="1" thickBot="1" x14ac:dyDescent="0.3">
      <c r="A22" s="26" t="s">
        <v>8</v>
      </c>
      <c r="B22" s="21">
        <v>83.94</v>
      </c>
      <c r="C22" s="21">
        <v>0</v>
      </c>
      <c r="D22" s="21">
        <v>83.94</v>
      </c>
      <c r="F22" s="6" t="s">
        <v>20</v>
      </c>
      <c r="G22" s="7">
        <v>1249.23</v>
      </c>
      <c r="H22" s="7">
        <v>0</v>
      </c>
      <c r="I22" s="7">
        <v>1249.23</v>
      </c>
      <c r="K22" s="16" t="s">
        <v>20</v>
      </c>
      <c r="L22" s="17">
        <v>66.900000000000006</v>
      </c>
      <c r="M22" s="17">
        <v>0</v>
      </c>
      <c r="N22" s="17">
        <v>66.900000000000006</v>
      </c>
      <c r="P22" s="29">
        <f t="shared" si="1"/>
        <v>1400.0700000000002</v>
      </c>
      <c r="Q22" s="29">
        <f t="shared" si="2"/>
        <v>0</v>
      </c>
      <c r="R22" s="29">
        <f t="shared" si="3"/>
        <v>1400.0700000000002</v>
      </c>
    </row>
    <row r="23" spans="1:18" ht="18.75" customHeight="1" thickBot="1" x14ac:dyDescent="0.3">
      <c r="A23" s="27" t="s">
        <v>40</v>
      </c>
      <c r="B23" s="31">
        <v>0</v>
      </c>
      <c r="C23" s="31">
        <v>0</v>
      </c>
      <c r="D23" s="31">
        <v>0</v>
      </c>
      <c r="F23" s="8" t="s">
        <v>21</v>
      </c>
      <c r="G23" s="9">
        <v>8500</v>
      </c>
      <c r="H23" s="9">
        <v>0</v>
      </c>
      <c r="I23" s="9">
        <v>8500</v>
      </c>
      <c r="K23" s="18" t="s">
        <v>40</v>
      </c>
      <c r="L23" s="28">
        <v>0</v>
      </c>
      <c r="M23" s="28">
        <v>0</v>
      </c>
      <c r="N23" s="28">
        <v>0</v>
      </c>
      <c r="P23" s="34">
        <f t="shared" si="1"/>
        <v>8500</v>
      </c>
      <c r="Q23" s="34">
        <f t="shared" si="2"/>
        <v>0</v>
      </c>
      <c r="R23" s="35">
        <f t="shared" si="3"/>
        <v>8500</v>
      </c>
    </row>
    <row r="24" spans="1:18" ht="18.75" customHeight="1" thickBot="1" x14ac:dyDescent="0.3">
      <c r="A24" s="19" t="s">
        <v>12</v>
      </c>
      <c r="B24" s="22">
        <v>1604.14</v>
      </c>
      <c r="C24" s="22">
        <v>0</v>
      </c>
      <c r="D24" s="22">
        <v>1604.14</v>
      </c>
      <c r="F24" s="10" t="s">
        <v>22</v>
      </c>
      <c r="G24" s="11">
        <v>67704.429999999993</v>
      </c>
      <c r="H24" s="11">
        <v>0</v>
      </c>
      <c r="I24" s="11">
        <v>67704.429999999993</v>
      </c>
      <c r="K24" s="19" t="s">
        <v>12</v>
      </c>
      <c r="L24" s="20">
        <v>1928.46</v>
      </c>
      <c r="M24" s="20">
        <v>0</v>
      </c>
      <c r="N24" s="20">
        <v>1928.46</v>
      </c>
      <c r="P24" s="39">
        <f t="shared" si="1"/>
        <v>71237.03</v>
      </c>
      <c r="Q24" s="37">
        <f t="shared" si="2"/>
        <v>0</v>
      </c>
      <c r="R24" s="37">
        <f t="shared" si="3"/>
        <v>71237.03</v>
      </c>
    </row>
    <row r="25" spans="1:18" ht="15.75" thickBot="1" x14ac:dyDescent="0.3">
      <c r="A25" s="32" t="s">
        <v>43</v>
      </c>
      <c r="F25" s="32" t="s">
        <v>44</v>
      </c>
      <c r="K25" s="32" t="s">
        <v>49</v>
      </c>
    </row>
    <row r="26" spans="1:18" ht="15.75" thickBot="1" x14ac:dyDescent="0.3">
      <c r="A26" s="186" t="s">
        <v>34</v>
      </c>
      <c r="B26" s="187"/>
      <c r="C26" s="187"/>
      <c r="D26" s="188"/>
      <c r="F26" s="12"/>
      <c r="G26" s="186" t="s">
        <v>34</v>
      </c>
      <c r="H26" s="187"/>
      <c r="I26" s="188"/>
      <c r="K26" s="12"/>
      <c r="L26" s="186" t="s">
        <v>34</v>
      </c>
      <c r="M26" s="187"/>
      <c r="N26" s="188"/>
      <c r="P26" s="32" t="s">
        <v>62</v>
      </c>
    </row>
    <row r="27" spans="1:18" ht="26.25" thickBot="1" x14ac:dyDescent="0.3">
      <c r="A27" s="14"/>
      <c r="B27" s="15" t="s">
        <v>0</v>
      </c>
      <c r="C27" s="15" t="s">
        <v>11</v>
      </c>
      <c r="D27" s="15" t="s">
        <v>12</v>
      </c>
      <c r="F27" s="14"/>
      <c r="G27" s="15" t="s">
        <v>0</v>
      </c>
      <c r="H27" s="15" t="s">
        <v>11</v>
      </c>
      <c r="I27" s="15" t="s">
        <v>12</v>
      </c>
      <c r="K27" s="14"/>
      <c r="L27" s="15" t="s">
        <v>0</v>
      </c>
      <c r="M27" s="36" t="s">
        <v>11</v>
      </c>
      <c r="N27" s="15" t="s">
        <v>12</v>
      </c>
      <c r="P27" s="29" t="s">
        <v>0</v>
      </c>
      <c r="Q27" s="29" t="s">
        <v>11</v>
      </c>
      <c r="R27" s="29" t="s">
        <v>12</v>
      </c>
    </row>
    <row r="28" spans="1:18" ht="21.75" customHeight="1" thickBot="1" x14ac:dyDescent="0.3">
      <c r="A28" s="4" t="s">
        <v>1</v>
      </c>
      <c r="B28" s="5">
        <v>0</v>
      </c>
      <c r="C28" s="5">
        <v>0</v>
      </c>
      <c r="D28" s="5">
        <v>0</v>
      </c>
      <c r="F28" s="4" t="s">
        <v>1</v>
      </c>
      <c r="G28" s="5">
        <v>0</v>
      </c>
      <c r="H28" s="5">
        <v>0</v>
      </c>
      <c r="I28" s="5">
        <v>0</v>
      </c>
      <c r="K28" s="4" t="s">
        <v>1</v>
      </c>
      <c r="L28" s="5">
        <v>0</v>
      </c>
      <c r="M28" s="5">
        <v>1350</v>
      </c>
      <c r="N28" s="5">
        <v>1350</v>
      </c>
      <c r="P28" s="34">
        <f>B28+G28+L28</f>
        <v>0</v>
      </c>
      <c r="Q28" s="34">
        <f t="shared" ref="Q28:R28" si="4">C28+H28+M28</f>
        <v>1350</v>
      </c>
      <c r="R28" s="35">
        <f t="shared" si="4"/>
        <v>1350</v>
      </c>
    </row>
    <row r="29" spans="1:18" ht="21.75" customHeight="1" thickBot="1" x14ac:dyDescent="0.3">
      <c r="A29" s="4" t="s">
        <v>13</v>
      </c>
      <c r="B29" s="5">
        <v>0</v>
      </c>
      <c r="C29" s="5">
        <v>0</v>
      </c>
      <c r="D29" s="5">
        <v>0</v>
      </c>
      <c r="F29" s="4" t="s">
        <v>13</v>
      </c>
      <c r="G29" s="5">
        <v>0</v>
      </c>
      <c r="H29" s="5">
        <v>0</v>
      </c>
      <c r="I29" s="5">
        <v>0</v>
      </c>
      <c r="K29" s="4" t="s">
        <v>13</v>
      </c>
      <c r="L29" s="5">
        <v>0</v>
      </c>
      <c r="M29" s="5">
        <v>0</v>
      </c>
      <c r="N29" s="5">
        <v>0</v>
      </c>
      <c r="P29" s="34">
        <f t="shared" ref="P29:P43" si="5">B29+G29+L29</f>
        <v>0</v>
      </c>
      <c r="Q29" s="34">
        <f t="shared" ref="Q29:Q43" si="6">C29+H29+M29</f>
        <v>0</v>
      </c>
      <c r="R29" s="35">
        <f t="shared" ref="R29:R43" si="7">D29+I29+N29</f>
        <v>0</v>
      </c>
    </row>
    <row r="30" spans="1:18" ht="21.75" customHeight="1" thickBot="1" x14ac:dyDescent="0.3">
      <c r="A30" s="4" t="s">
        <v>14</v>
      </c>
      <c r="B30" s="5">
        <v>0</v>
      </c>
      <c r="C30" s="5">
        <v>559.6</v>
      </c>
      <c r="D30" s="5">
        <v>559.6</v>
      </c>
      <c r="F30" s="4" t="s">
        <v>14</v>
      </c>
      <c r="G30" s="5">
        <v>0</v>
      </c>
      <c r="H30" s="5">
        <v>1171.8</v>
      </c>
      <c r="I30" s="5">
        <v>1171.8</v>
      </c>
      <c r="K30" s="4" t="s">
        <v>14</v>
      </c>
      <c r="L30" s="5">
        <v>0</v>
      </c>
      <c r="M30" s="5">
        <v>8089</v>
      </c>
      <c r="N30" s="5">
        <v>8089</v>
      </c>
      <c r="P30" s="34">
        <f t="shared" si="5"/>
        <v>0</v>
      </c>
      <c r="Q30" s="34">
        <f t="shared" si="6"/>
        <v>9820.4</v>
      </c>
      <c r="R30" s="35">
        <f t="shared" si="7"/>
        <v>9820.4</v>
      </c>
    </row>
    <row r="31" spans="1:18" ht="21.75" customHeight="1" thickBot="1" x14ac:dyDescent="0.3">
      <c r="A31" s="16" t="s">
        <v>2</v>
      </c>
      <c r="B31" s="21">
        <v>0</v>
      </c>
      <c r="C31" s="21">
        <v>559.6</v>
      </c>
      <c r="D31" s="21">
        <v>559.6</v>
      </c>
      <c r="F31" s="16" t="s">
        <v>2</v>
      </c>
      <c r="G31" s="17">
        <v>0</v>
      </c>
      <c r="H31" s="17">
        <v>1171.8</v>
      </c>
      <c r="I31" s="17">
        <v>1171.8</v>
      </c>
      <c r="K31" s="16" t="s">
        <v>2</v>
      </c>
      <c r="L31" s="17">
        <v>0</v>
      </c>
      <c r="M31" s="17">
        <v>9439</v>
      </c>
      <c r="N31" s="17">
        <v>9439</v>
      </c>
      <c r="P31" s="29">
        <f t="shared" si="5"/>
        <v>0</v>
      </c>
      <c r="Q31" s="29">
        <f t="shared" si="6"/>
        <v>11170.4</v>
      </c>
      <c r="R31" s="29">
        <f t="shared" si="7"/>
        <v>11170.4</v>
      </c>
    </row>
    <row r="32" spans="1:18" ht="21.75" customHeight="1" thickBot="1" x14ac:dyDescent="0.3">
      <c r="A32" s="4" t="s">
        <v>15</v>
      </c>
      <c r="B32" s="5">
        <v>0</v>
      </c>
      <c r="C32" s="5">
        <v>1415.56</v>
      </c>
      <c r="D32" s="5">
        <v>1415.56</v>
      </c>
      <c r="F32" s="4" t="s">
        <v>15</v>
      </c>
      <c r="G32" s="5">
        <v>0</v>
      </c>
      <c r="H32" s="5">
        <v>1298.04</v>
      </c>
      <c r="I32" s="5">
        <v>1298.04</v>
      </c>
      <c r="K32" s="4" t="s">
        <v>15</v>
      </c>
      <c r="L32" s="5">
        <v>0</v>
      </c>
      <c r="M32" s="5">
        <v>2997</v>
      </c>
      <c r="N32" s="5">
        <v>2997</v>
      </c>
      <c r="P32" s="34">
        <f t="shared" si="5"/>
        <v>0</v>
      </c>
      <c r="Q32" s="34">
        <f t="shared" si="6"/>
        <v>5710.6</v>
      </c>
      <c r="R32" s="35">
        <f t="shared" si="7"/>
        <v>5710.6</v>
      </c>
    </row>
    <row r="33" spans="1:18" ht="21.75" customHeight="1" thickBot="1" x14ac:dyDescent="0.3">
      <c r="A33" s="4" t="s">
        <v>16</v>
      </c>
      <c r="B33" s="5">
        <v>0</v>
      </c>
      <c r="C33" s="5">
        <v>0</v>
      </c>
      <c r="D33" s="5">
        <v>0</v>
      </c>
      <c r="F33" s="4" t="s">
        <v>16</v>
      </c>
      <c r="G33" s="5">
        <v>0</v>
      </c>
      <c r="H33" s="5">
        <v>0</v>
      </c>
      <c r="I33" s="5">
        <v>0</v>
      </c>
      <c r="K33" s="4" t="s">
        <v>16</v>
      </c>
      <c r="L33" s="5">
        <v>0</v>
      </c>
      <c r="M33" s="5">
        <v>0</v>
      </c>
      <c r="N33" s="5">
        <v>0</v>
      </c>
      <c r="P33" s="34">
        <f t="shared" si="5"/>
        <v>0</v>
      </c>
      <c r="Q33" s="34">
        <f t="shared" si="6"/>
        <v>0</v>
      </c>
      <c r="R33" s="35">
        <f t="shared" si="7"/>
        <v>0</v>
      </c>
    </row>
    <row r="34" spans="1:18" ht="21.75" customHeight="1" thickBot="1" x14ac:dyDescent="0.3">
      <c r="A34" s="4" t="s">
        <v>3</v>
      </c>
      <c r="B34" s="5">
        <v>0</v>
      </c>
      <c r="C34" s="5">
        <v>0</v>
      </c>
      <c r="D34" s="5">
        <v>0</v>
      </c>
      <c r="F34" s="4" t="s">
        <v>3</v>
      </c>
      <c r="G34" s="5">
        <v>0</v>
      </c>
      <c r="H34" s="5">
        <v>0</v>
      </c>
      <c r="I34" s="5">
        <v>0</v>
      </c>
      <c r="K34" s="4" t="s">
        <v>3</v>
      </c>
      <c r="L34" s="5">
        <v>0</v>
      </c>
      <c r="M34" s="5">
        <v>1300</v>
      </c>
      <c r="N34" s="5">
        <v>1300</v>
      </c>
      <c r="P34" s="34">
        <f t="shared" si="5"/>
        <v>0</v>
      </c>
      <c r="Q34" s="34">
        <f t="shared" si="6"/>
        <v>1300</v>
      </c>
      <c r="R34" s="35">
        <f t="shared" si="7"/>
        <v>1300</v>
      </c>
    </row>
    <row r="35" spans="1:18" ht="21.75" customHeight="1" thickBot="1" x14ac:dyDescent="0.3">
      <c r="A35" s="4" t="s">
        <v>4</v>
      </c>
      <c r="B35" s="5">
        <v>0</v>
      </c>
      <c r="C35" s="5">
        <v>0</v>
      </c>
      <c r="D35" s="5">
        <v>0</v>
      </c>
      <c r="F35" s="4" t="s">
        <v>4</v>
      </c>
      <c r="G35" s="5">
        <v>0</v>
      </c>
      <c r="H35" s="5">
        <v>0</v>
      </c>
      <c r="I35" s="5">
        <v>0</v>
      </c>
      <c r="K35" s="4" t="s">
        <v>4</v>
      </c>
      <c r="L35" s="5">
        <v>0</v>
      </c>
      <c r="M35" s="5">
        <v>130</v>
      </c>
      <c r="N35" s="5">
        <v>130</v>
      </c>
      <c r="P35" s="34">
        <f t="shared" si="5"/>
        <v>0</v>
      </c>
      <c r="Q35" s="34">
        <f t="shared" si="6"/>
        <v>130</v>
      </c>
      <c r="R35" s="35">
        <f t="shared" si="7"/>
        <v>130</v>
      </c>
    </row>
    <row r="36" spans="1:18" ht="21.75" customHeight="1" thickBot="1" x14ac:dyDescent="0.3">
      <c r="A36" s="4" t="s">
        <v>17</v>
      </c>
      <c r="B36" s="5">
        <v>0</v>
      </c>
      <c r="C36" s="5">
        <v>0</v>
      </c>
      <c r="D36" s="5">
        <v>0</v>
      </c>
      <c r="F36" s="4" t="s">
        <v>17</v>
      </c>
      <c r="G36" s="5">
        <v>0</v>
      </c>
      <c r="H36" s="5">
        <v>0</v>
      </c>
      <c r="I36" s="5">
        <v>0</v>
      </c>
      <c r="K36" s="4" t="s">
        <v>17</v>
      </c>
      <c r="L36" s="5">
        <v>0</v>
      </c>
      <c r="M36" s="5">
        <v>650</v>
      </c>
      <c r="N36" s="5">
        <v>650</v>
      </c>
      <c r="P36" s="34">
        <f t="shared" si="5"/>
        <v>0</v>
      </c>
      <c r="Q36" s="34">
        <f t="shared" si="6"/>
        <v>650</v>
      </c>
      <c r="R36" s="35">
        <f t="shared" si="7"/>
        <v>650</v>
      </c>
    </row>
    <row r="37" spans="1:18" ht="21.75" customHeight="1" thickBot="1" x14ac:dyDescent="0.3">
      <c r="A37" s="4" t="s">
        <v>18</v>
      </c>
      <c r="B37" s="5">
        <v>0</v>
      </c>
      <c r="C37" s="5">
        <v>0</v>
      </c>
      <c r="D37" s="5">
        <v>0</v>
      </c>
      <c r="F37" s="4" t="s">
        <v>18</v>
      </c>
      <c r="G37" s="5">
        <v>0</v>
      </c>
      <c r="H37" s="5">
        <v>0</v>
      </c>
      <c r="I37" s="5">
        <v>0</v>
      </c>
      <c r="K37" s="4" t="s">
        <v>18</v>
      </c>
      <c r="L37" s="5">
        <v>0</v>
      </c>
      <c r="M37" s="5">
        <v>28100</v>
      </c>
      <c r="N37" s="5">
        <v>28100</v>
      </c>
      <c r="P37" s="34">
        <f t="shared" si="5"/>
        <v>0</v>
      </c>
      <c r="Q37" s="34">
        <f t="shared" si="6"/>
        <v>28100</v>
      </c>
      <c r="R37" s="35">
        <f t="shared" si="7"/>
        <v>28100</v>
      </c>
    </row>
    <row r="38" spans="1:18" ht="21.75" customHeight="1" thickBot="1" x14ac:dyDescent="0.3">
      <c r="A38" s="4" t="s">
        <v>5</v>
      </c>
      <c r="B38" s="5">
        <v>0</v>
      </c>
      <c r="C38" s="5">
        <v>0</v>
      </c>
      <c r="D38" s="5">
        <v>0</v>
      </c>
      <c r="F38" s="4" t="s">
        <v>5</v>
      </c>
      <c r="G38" s="5">
        <v>0</v>
      </c>
      <c r="H38" s="5">
        <v>0</v>
      </c>
      <c r="I38" s="5">
        <v>0</v>
      </c>
      <c r="K38" s="4" t="s">
        <v>5</v>
      </c>
      <c r="L38" s="5">
        <v>0</v>
      </c>
      <c r="M38" s="5">
        <v>14300</v>
      </c>
      <c r="N38" s="5">
        <v>14300</v>
      </c>
      <c r="P38" s="34">
        <f t="shared" si="5"/>
        <v>0</v>
      </c>
      <c r="Q38" s="34">
        <f t="shared" si="6"/>
        <v>14300</v>
      </c>
      <c r="R38" s="35">
        <f t="shared" si="7"/>
        <v>14300</v>
      </c>
    </row>
    <row r="39" spans="1:18" ht="21.75" customHeight="1" thickBot="1" x14ac:dyDescent="0.3">
      <c r="A39" s="16" t="s">
        <v>6</v>
      </c>
      <c r="B39" s="21">
        <v>0</v>
      </c>
      <c r="C39" s="21">
        <v>1415.56</v>
      </c>
      <c r="D39" s="21">
        <v>1415.56</v>
      </c>
      <c r="F39" s="16" t="s">
        <v>35</v>
      </c>
      <c r="G39" s="17">
        <v>0</v>
      </c>
      <c r="H39" s="17">
        <v>1298.04</v>
      </c>
      <c r="I39" s="17">
        <v>1298.04</v>
      </c>
      <c r="K39" s="16" t="s">
        <v>6</v>
      </c>
      <c r="L39" s="17">
        <v>0</v>
      </c>
      <c r="M39" s="17">
        <v>47477</v>
      </c>
      <c r="N39" s="17">
        <v>47477</v>
      </c>
      <c r="P39" s="29">
        <f t="shared" si="5"/>
        <v>0</v>
      </c>
      <c r="Q39" s="29">
        <f t="shared" si="6"/>
        <v>50190.6</v>
      </c>
      <c r="R39" s="29">
        <f t="shared" si="7"/>
        <v>50190.6</v>
      </c>
    </row>
    <row r="40" spans="1:18" ht="21.75" customHeight="1" thickBot="1" x14ac:dyDescent="0.3">
      <c r="A40" s="16" t="s">
        <v>19</v>
      </c>
      <c r="B40" s="21">
        <v>0</v>
      </c>
      <c r="C40" s="21">
        <v>1975.16</v>
      </c>
      <c r="D40" s="21">
        <v>1975.16</v>
      </c>
      <c r="F40" s="16" t="s">
        <v>7</v>
      </c>
      <c r="G40" s="17">
        <v>0</v>
      </c>
      <c r="H40" s="17">
        <v>2469.84</v>
      </c>
      <c r="I40" s="17">
        <v>2469.84</v>
      </c>
      <c r="K40" s="16" t="s">
        <v>19</v>
      </c>
      <c r="L40" s="17">
        <v>0</v>
      </c>
      <c r="M40" s="17">
        <v>56916</v>
      </c>
      <c r="N40" s="17">
        <v>56916</v>
      </c>
      <c r="P40" s="29">
        <f t="shared" si="5"/>
        <v>0</v>
      </c>
      <c r="Q40" s="29">
        <f t="shared" si="6"/>
        <v>61361</v>
      </c>
      <c r="R40" s="29">
        <f t="shared" si="7"/>
        <v>61361</v>
      </c>
    </row>
    <row r="41" spans="1:18" ht="21.75" customHeight="1" thickBot="1" x14ac:dyDescent="0.3">
      <c r="A41" s="16" t="s">
        <v>20</v>
      </c>
      <c r="B41" s="21">
        <v>0</v>
      </c>
      <c r="C41" s="21">
        <v>83.94</v>
      </c>
      <c r="D41" s="21">
        <v>83.94</v>
      </c>
      <c r="F41" s="16" t="s">
        <v>8</v>
      </c>
      <c r="G41" s="17">
        <v>0</v>
      </c>
      <c r="H41" s="17">
        <v>175.77</v>
      </c>
      <c r="I41" s="17">
        <v>175.77</v>
      </c>
      <c r="K41" s="16" t="s">
        <v>20</v>
      </c>
      <c r="L41" s="17">
        <v>0</v>
      </c>
      <c r="M41" s="17">
        <v>1415.85</v>
      </c>
      <c r="N41" s="17">
        <v>1415.85</v>
      </c>
      <c r="P41" s="29">
        <f t="shared" si="5"/>
        <v>0</v>
      </c>
      <c r="Q41" s="29">
        <f t="shared" si="6"/>
        <v>1675.56</v>
      </c>
      <c r="R41" s="29">
        <f t="shared" si="7"/>
        <v>1675.56</v>
      </c>
    </row>
    <row r="42" spans="1:18" ht="21.75" customHeight="1" thickBot="1" x14ac:dyDescent="0.3">
      <c r="A42" s="18" t="s">
        <v>40</v>
      </c>
      <c r="B42" s="23">
        <v>0</v>
      </c>
      <c r="C42" s="23">
        <v>0</v>
      </c>
      <c r="D42" s="23">
        <v>0</v>
      </c>
      <c r="F42" s="18" t="s">
        <v>21</v>
      </c>
      <c r="G42" s="28">
        <v>0</v>
      </c>
      <c r="H42" s="28">
        <v>0</v>
      </c>
      <c r="I42" s="28">
        <v>0</v>
      </c>
      <c r="K42" s="18" t="s">
        <v>40</v>
      </c>
      <c r="L42" s="28">
        <v>0</v>
      </c>
      <c r="M42" s="28">
        <v>8500</v>
      </c>
      <c r="N42" s="28">
        <v>8500</v>
      </c>
      <c r="P42" s="34">
        <f t="shared" si="5"/>
        <v>0</v>
      </c>
      <c r="Q42" s="34">
        <f t="shared" si="6"/>
        <v>8500</v>
      </c>
      <c r="R42" s="35">
        <f t="shared" si="7"/>
        <v>8500</v>
      </c>
    </row>
    <row r="43" spans="1:18" ht="21.75" customHeight="1" thickBot="1" x14ac:dyDescent="0.3">
      <c r="A43" s="19" t="s">
        <v>12</v>
      </c>
      <c r="B43" s="22">
        <v>0</v>
      </c>
      <c r="C43" s="22">
        <v>2059.1</v>
      </c>
      <c r="D43" s="22">
        <v>2059.1</v>
      </c>
      <c r="F43" s="19" t="s">
        <v>22</v>
      </c>
      <c r="G43" s="20">
        <v>0</v>
      </c>
      <c r="H43" s="20">
        <v>2645.61</v>
      </c>
      <c r="I43" s="20">
        <v>2645.61</v>
      </c>
      <c r="K43" s="19" t="s">
        <v>12</v>
      </c>
      <c r="L43" s="20">
        <v>0</v>
      </c>
      <c r="M43" s="20">
        <v>58331.85</v>
      </c>
      <c r="N43" s="20">
        <v>58331.85</v>
      </c>
      <c r="P43" s="37">
        <f t="shared" si="5"/>
        <v>0</v>
      </c>
      <c r="Q43" s="37">
        <f t="shared" si="6"/>
        <v>63036.56</v>
      </c>
      <c r="R43" s="37">
        <f t="shared" si="7"/>
        <v>63036.56</v>
      </c>
    </row>
    <row r="44" spans="1:18" ht="15.75" thickBot="1" x14ac:dyDescent="0.3">
      <c r="A44" s="32" t="s">
        <v>46</v>
      </c>
      <c r="F44" s="32" t="s">
        <v>45</v>
      </c>
      <c r="K44" s="32" t="s">
        <v>48</v>
      </c>
    </row>
    <row r="45" spans="1:18" ht="15.75" thickBot="1" x14ac:dyDescent="0.3">
      <c r="A45" s="12"/>
      <c r="B45" s="24" t="s">
        <v>36</v>
      </c>
      <c r="C45" s="13"/>
      <c r="D45" s="25"/>
      <c r="F45" s="12"/>
      <c r="G45" s="186" t="s">
        <v>36</v>
      </c>
      <c r="H45" s="187"/>
      <c r="I45" s="188"/>
      <c r="K45" s="12"/>
      <c r="L45" s="186" t="s">
        <v>36</v>
      </c>
      <c r="M45" s="187"/>
      <c r="N45" s="188"/>
      <c r="P45" s="32" t="s">
        <v>63</v>
      </c>
    </row>
    <row r="46" spans="1:18" ht="26.25" thickBot="1" x14ac:dyDescent="0.3">
      <c r="A46" s="14"/>
      <c r="B46" s="15" t="s">
        <v>0</v>
      </c>
      <c r="C46" s="15" t="s">
        <v>11</v>
      </c>
      <c r="D46" s="15" t="s">
        <v>12</v>
      </c>
      <c r="F46" s="14"/>
      <c r="G46" s="15" t="s">
        <v>0</v>
      </c>
      <c r="H46" s="15" t="s">
        <v>11</v>
      </c>
      <c r="I46" s="15" t="s">
        <v>12</v>
      </c>
      <c r="K46" s="14"/>
      <c r="L46" s="15" t="s">
        <v>0</v>
      </c>
      <c r="M46" s="15" t="s">
        <v>11</v>
      </c>
      <c r="N46" s="15" t="s">
        <v>12</v>
      </c>
      <c r="P46" s="29" t="s">
        <v>0</v>
      </c>
      <c r="Q46" s="29" t="s">
        <v>11</v>
      </c>
      <c r="R46" s="29" t="s">
        <v>12</v>
      </c>
    </row>
    <row r="47" spans="1:18" ht="22.5" customHeight="1" thickBot="1" x14ac:dyDescent="0.3">
      <c r="A47" s="4" t="s">
        <v>1</v>
      </c>
      <c r="B47" s="5">
        <v>0</v>
      </c>
      <c r="C47" s="5">
        <v>1350</v>
      </c>
      <c r="D47" s="5">
        <v>1350</v>
      </c>
      <c r="F47" s="4" t="s">
        <v>1</v>
      </c>
      <c r="G47" s="5">
        <v>0</v>
      </c>
      <c r="H47" s="5">
        <v>0</v>
      </c>
      <c r="I47" s="5">
        <v>0</v>
      </c>
      <c r="K47" s="4" t="s">
        <v>1</v>
      </c>
      <c r="L47" s="5">
        <v>0</v>
      </c>
      <c r="M47" s="5">
        <v>0</v>
      </c>
      <c r="N47" s="5">
        <v>0</v>
      </c>
      <c r="P47" s="34">
        <f>B47+G47+L47</f>
        <v>0</v>
      </c>
      <c r="Q47" s="34">
        <f t="shared" ref="Q47:R47" si="8">C47+H47+M47</f>
        <v>1350</v>
      </c>
      <c r="R47" s="35">
        <f t="shared" si="8"/>
        <v>1350</v>
      </c>
    </row>
    <row r="48" spans="1:18" ht="22.5" customHeight="1" thickBot="1" x14ac:dyDescent="0.3">
      <c r="A48" s="4" t="s">
        <v>13</v>
      </c>
      <c r="B48" s="5">
        <v>0</v>
      </c>
      <c r="C48" s="5">
        <v>0</v>
      </c>
      <c r="D48" s="5">
        <v>0</v>
      </c>
      <c r="F48" s="4" t="s">
        <v>13</v>
      </c>
      <c r="G48" s="5">
        <v>0</v>
      </c>
      <c r="H48" s="5">
        <v>0</v>
      </c>
      <c r="I48" s="5">
        <v>0</v>
      </c>
      <c r="K48" s="4" t="s">
        <v>13</v>
      </c>
      <c r="L48" s="5">
        <v>0</v>
      </c>
      <c r="M48" s="5">
        <v>0</v>
      </c>
      <c r="N48" s="5">
        <v>0</v>
      </c>
      <c r="P48" s="34">
        <f t="shared" ref="P48:P60" si="9">B48+G48+L48</f>
        <v>0</v>
      </c>
      <c r="Q48" s="34">
        <f t="shared" ref="Q48:Q60" si="10">C48+H48+M48</f>
        <v>0</v>
      </c>
      <c r="R48" s="35">
        <f t="shared" ref="R48:R60" si="11">D48+I48+N48</f>
        <v>0</v>
      </c>
    </row>
    <row r="49" spans="1:18" ht="22.5" customHeight="1" thickBot="1" x14ac:dyDescent="0.3">
      <c r="A49" s="4" t="s">
        <v>14</v>
      </c>
      <c r="B49" s="5">
        <v>0</v>
      </c>
      <c r="C49" s="5">
        <v>6856.2</v>
      </c>
      <c r="D49" s="5">
        <v>6856.2</v>
      </c>
      <c r="F49" s="4" t="s">
        <v>14</v>
      </c>
      <c r="G49" s="5">
        <v>0</v>
      </c>
      <c r="H49" s="5">
        <v>1338</v>
      </c>
      <c r="I49" s="5">
        <v>1338</v>
      </c>
      <c r="K49" s="4" t="s">
        <v>14</v>
      </c>
      <c r="L49" s="5">
        <v>0</v>
      </c>
      <c r="M49" s="5">
        <v>1338</v>
      </c>
      <c r="N49" s="5">
        <v>1338</v>
      </c>
      <c r="P49" s="34">
        <f t="shared" si="9"/>
        <v>0</v>
      </c>
      <c r="Q49" s="34">
        <f t="shared" si="10"/>
        <v>9532.2000000000007</v>
      </c>
      <c r="R49" s="35">
        <f t="shared" si="11"/>
        <v>9532.2000000000007</v>
      </c>
    </row>
    <row r="50" spans="1:18" ht="22.5" customHeight="1" thickBot="1" x14ac:dyDescent="0.3">
      <c r="A50" s="16" t="s">
        <v>2</v>
      </c>
      <c r="B50" s="21">
        <v>0</v>
      </c>
      <c r="C50" s="21">
        <v>8206.2000000000007</v>
      </c>
      <c r="D50" s="21">
        <v>8206.2000000000007</v>
      </c>
      <c r="F50" s="16" t="s">
        <v>2</v>
      </c>
      <c r="G50" s="17">
        <v>0</v>
      </c>
      <c r="H50" s="17">
        <v>1338</v>
      </c>
      <c r="I50" s="17">
        <v>1338</v>
      </c>
      <c r="K50" s="16" t="s">
        <v>2</v>
      </c>
      <c r="L50" s="21">
        <v>0</v>
      </c>
      <c r="M50" s="21">
        <v>1338</v>
      </c>
      <c r="N50" s="21">
        <v>1338</v>
      </c>
      <c r="P50" s="29">
        <f t="shared" si="9"/>
        <v>0</v>
      </c>
      <c r="Q50" s="29">
        <f t="shared" si="10"/>
        <v>10882.2</v>
      </c>
      <c r="R50" s="29">
        <f t="shared" si="11"/>
        <v>10882.2</v>
      </c>
    </row>
    <row r="51" spans="1:18" ht="22.5" customHeight="1" thickBot="1" x14ac:dyDescent="0.3">
      <c r="A51" s="4" t="s">
        <v>15</v>
      </c>
      <c r="B51" s="5">
        <v>0</v>
      </c>
      <c r="C51" s="5">
        <v>3114</v>
      </c>
      <c r="D51" s="5">
        <v>3114</v>
      </c>
      <c r="F51" s="4" t="s">
        <v>15</v>
      </c>
      <c r="G51" s="5">
        <v>0</v>
      </c>
      <c r="H51" s="5">
        <v>960.6</v>
      </c>
      <c r="I51" s="5">
        <v>960.6</v>
      </c>
      <c r="K51" s="4" t="s">
        <v>15</v>
      </c>
      <c r="L51" s="5">
        <v>0</v>
      </c>
      <c r="M51" s="5">
        <v>1448.84</v>
      </c>
      <c r="N51" s="5">
        <v>1448.84</v>
      </c>
      <c r="P51" s="34">
        <f t="shared" si="9"/>
        <v>0</v>
      </c>
      <c r="Q51" s="34">
        <f t="shared" si="10"/>
        <v>5523.44</v>
      </c>
      <c r="R51" s="35">
        <f t="shared" si="11"/>
        <v>5523.44</v>
      </c>
    </row>
    <row r="52" spans="1:18" ht="22.5" customHeight="1" thickBot="1" x14ac:dyDescent="0.3">
      <c r="A52" s="4" t="s">
        <v>16</v>
      </c>
      <c r="B52" s="5">
        <v>0</v>
      </c>
      <c r="C52" s="5">
        <v>0</v>
      </c>
      <c r="D52" s="5">
        <v>0</v>
      </c>
      <c r="F52" s="4" t="s">
        <v>16</v>
      </c>
      <c r="G52" s="5">
        <v>0</v>
      </c>
      <c r="H52" s="5">
        <v>0</v>
      </c>
      <c r="I52" s="5">
        <v>0</v>
      </c>
      <c r="K52" s="4" t="s">
        <v>16</v>
      </c>
      <c r="L52" s="5">
        <v>0</v>
      </c>
      <c r="M52" s="5">
        <v>0</v>
      </c>
      <c r="N52" s="5">
        <v>0</v>
      </c>
      <c r="P52" s="34">
        <f t="shared" si="9"/>
        <v>0</v>
      </c>
      <c r="Q52" s="34">
        <f t="shared" si="10"/>
        <v>0</v>
      </c>
      <c r="R52" s="35">
        <f t="shared" si="11"/>
        <v>0</v>
      </c>
    </row>
    <row r="53" spans="1:18" ht="22.5" customHeight="1" thickBot="1" x14ac:dyDescent="0.3">
      <c r="A53" s="4" t="s">
        <v>3</v>
      </c>
      <c r="B53" s="5">
        <v>0</v>
      </c>
      <c r="C53" s="5">
        <v>1300</v>
      </c>
      <c r="D53" s="5">
        <v>1300</v>
      </c>
      <c r="F53" s="4" t="s">
        <v>3</v>
      </c>
      <c r="G53" s="5">
        <v>0</v>
      </c>
      <c r="H53" s="5">
        <v>0</v>
      </c>
      <c r="I53" s="5">
        <v>0</v>
      </c>
      <c r="K53" s="4" t="s">
        <v>3</v>
      </c>
      <c r="L53" s="5">
        <v>0</v>
      </c>
      <c r="M53" s="5">
        <v>0</v>
      </c>
      <c r="N53" s="5">
        <v>0</v>
      </c>
      <c r="P53" s="34">
        <f t="shared" si="9"/>
        <v>0</v>
      </c>
      <c r="Q53" s="34">
        <f t="shared" si="10"/>
        <v>1300</v>
      </c>
      <c r="R53" s="35">
        <f t="shared" si="11"/>
        <v>1300</v>
      </c>
    </row>
    <row r="54" spans="1:18" ht="22.5" customHeight="1" thickBot="1" x14ac:dyDescent="0.3">
      <c r="A54" s="4" t="s">
        <v>4</v>
      </c>
      <c r="B54" s="5">
        <v>0</v>
      </c>
      <c r="C54" s="5">
        <v>130</v>
      </c>
      <c r="D54" s="5">
        <v>130</v>
      </c>
      <c r="F54" s="4" t="s">
        <v>4</v>
      </c>
      <c r="G54" s="5">
        <v>0</v>
      </c>
      <c r="H54" s="5">
        <v>0</v>
      </c>
      <c r="I54" s="5">
        <v>0</v>
      </c>
      <c r="K54" s="4" t="s">
        <v>4</v>
      </c>
      <c r="L54" s="5">
        <v>0</v>
      </c>
      <c r="M54" s="5">
        <v>0</v>
      </c>
      <c r="N54" s="5">
        <v>0</v>
      </c>
      <c r="P54" s="34">
        <f t="shared" si="9"/>
        <v>0</v>
      </c>
      <c r="Q54" s="34">
        <f t="shared" si="10"/>
        <v>130</v>
      </c>
      <c r="R54" s="35">
        <f t="shared" si="11"/>
        <v>130</v>
      </c>
    </row>
    <row r="55" spans="1:18" ht="22.5" customHeight="1" thickBot="1" x14ac:dyDescent="0.3">
      <c r="A55" s="4" t="s">
        <v>17</v>
      </c>
      <c r="B55" s="5">
        <v>0</v>
      </c>
      <c r="C55" s="5">
        <v>700</v>
      </c>
      <c r="D55" s="5">
        <v>700</v>
      </c>
      <c r="F55" s="4" t="s">
        <v>17</v>
      </c>
      <c r="G55" s="5">
        <v>0</v>
      </c>
      <c r="H55" s="5">
        <v>0</v>
      </c>
      <c r="I55" s="5">
        <v>0</v>
      </c>
      <c r="K55" s="4" t="s">
        <v>17</v>
      </c>
      <c r="L55" s="5">
        <v>0</v>
      </c>
      <c r="M55" s="5">
        <v>0</v>
      </c>
      <c r="N55" s="5">
        <v>0</v>
      </c>
      <c r="P55" s="34">
        <f t="shared" si="9"/>
        <v>0</v>
      </c>
      <c r="Q55" s="34">
        <f t="shared" si="10"/>
        <v>700</v>
      </c>
      <c r="R55" s="35">
        <f t="shared" si="11"/>
        <v>700</v>
      </c>
    </row>
    <row r="56" spans="1:18" ht="22.5" customHeight="1" thickBot="1" x14ac:dyDescent="0.3">
      <c r="A56" s="4" t="s">
        <v>18</v>
      </c>
      <c r="B56" s="5">
        <v>0</v>
      </c>
      <c r="C56" s="5">
        <v>36600</v>
      </c>
      <c r="D56" s="5">
        <v>36600</v>
      </c>
      <c r="F56" s="4" t="s">
        <v>18</v>
      </c>
      <c r="G56" s="5">
        <v>0</v>
      </c>
      <c r="H56" s="5">
        <v>0</v>
      </c>
      <c r="I56" s="5">
        <v>0</v>
      </c>
      <c r="K56" s="4" t="s">
        <v>18</v>
      </c>
      <c r="L56" s="5">
        <v>0</v>
      </c>
      <c r="M56" s="5">
        <v>0</v>
      </c>
      <c r="N56" s="5">
        <v>0</v>
      </c>
      <c r="P56" s="34">
        <f t="shared" si="9"/>
        <v>0</v>
      </c>
      <c r="Q56" s="34">
        <f t="shared" si="10"/>
        <v>36600</v>
      </c>
      <c r="R56" s="35">
        <f t="shared" si="11"/>
        <v>36600</v>
      </c>
    </row>
    <row r="57" spans="1:18" ht="22.5" customHeight="1" thickBot="1" x14ac:dyDescent="0.3">
      <c r="A57" s="4" t="s">
        <v>5</v>
      </c>
      <c r="B57" s="5">
        <v>0</v>
      </c>
      <c r="C57" s="5">
        <v>16200</v>
      </c>
      <c r="D57" s="5">
        <v>16200</v>
      </c>
      <c r="F57" s="4" t="s">
        <v>5</v>
      </c>
      <c r="G57" s="5">
        <v>0</v>
      </c>
      <c r="H57" s="5">
        <v>0</v>
      </c>
      <c r="I57" s="5">
        <v>0</v>
      </c>
      <c r="K57" s="4" t="s">
        <v>5</v>
      </c>
      <c r="L57" s="5">
        <v>0</v>
      </c>
      <c r="M57" s="5">
        <v>0</v>
      </c>
      <c r="N57" s="5">
        <v>0</v>
      </c>
      <c r="P57" s="34">
        <f t="shared" si="9"/>
        <v>0</v>
      </c>
      <c r="Q57" s="34">
        <f t="shared" si="10"/>
        <v>16200</v>
      </c>
      <c r="R57" s="35">
        <f t="shared" si="11"/>
        <v>16200</v>
      </c>
    </row>
    <row r="58" spans="1:18" ht="22.5" customHeight="1" thickBot="1" x14ac:dyDescent="0.3">
      <c r="A58" s="16" t="s">
        <v>6</v>
      </c>
      <c r="B58" s="21">
        <v>0</v>
      </c>
      <c r="C58" s="21">
        <v>58044</v>
      </c>
      <c r="D58" s="21">
        <v>58044</v>
      </c>
      <c r="F58" s="16" t="s">
        <v>35</v>
      </c>
      <c r="G58" s="17">
        <v>0</v>
      </c>
      <c r="H58" s="17">
        <v>960.6</v>
      </c>
      <c r="I58" s="17">
        <v>960.6</v>
      </c>
      <c r="K58" s="16" t="s">
        <v>6</v>
      </c>
      <c r="L58" s="21">
        <v>0</v>
      </c>
      <c r="M58" s="21">
        <v>1448.84</v>
      </c>
      <c r="N58" s="21">
        <v>1448.84</v>
      </c>
      <c r="P58" s="29">
        <f t="shared" si="9"/>
        <v>0</v>
      </c>
      <c r="Q58" s="29">
        <f t="shared" si="10"/>
        <v>60453.439999999995</v>
      </c>
      <c r="R58" s="29">
        <f t="shared" si="11"/>
        <v>60453.439999999995</v>
      </c>
    </row>
    <row r="59" spans="1:18" ht="22.5" customHeight="1" thickBot="1" x14ac:dyDescent="0.3">
      <c r="A59" s="16" t="s">
        <v>19</v>
      </c>
      <c r="B59" s="21">
        <v>0</v>
      </c>
      <c r="C59" s="21">
        <v>66250.2</v>
      </c>
      <c r="D59" s="21">
        <v>66250.2</v>
      </c>
      <c r="F59" s="16" t="s">
        <v>19</v>
      </c>
      <c r="G59" s="17">
        <v>0</v>
      </c>
      <c r="H59" s="17">
        <v>2298.6</v>
      </c>
      <c r="I59" s="17">
        <v>2298.6</v>
      </c>
      <c r="K59" s="16" t="s">
        <v>19</v>
      </c>
      <c r="L59" s="21">
        <v>0</v>
      </c>
      <c r="M59" s="21">
        <v>2786.84</v>
      </c>
      <c r="N59" s="21">
        <v>2786.84</v>
      </c>
      <c r="P59" s="29">
        <f t="shared" si="9"/>
        <v>0</v>
      </c>
      <c r="Q59" s="29">
        <f t="shared" si="10"/>
        <v>71335.64</v>
      </c>
      <c r="R59" s="29">
        <f t="shared" si="11"/>
        <v>71335.64</v>
      </c>
    </row>
    <row r="60" spans="1:18" ht="22.5" customHeight="1" thickBot="1" x14ac:dyDescent="0.3">
      <c r="A60" s="16" t="s">
        <v>20</v>
      </c>
      <c r="B60" s="21">
        <v>0</v>
      </c>
      <c r="C60" s="21">
        <v>1230.93</v>
      </c>
      <c r="D60" s="21">
        <v>1230.93</v>
      </c>
      <c r="F60" s="16" t="s">
        <v>20</v>
      </c>
      <c r="G60" s="17">
        <v>0</v>
      </c>
      <c r="H60" s="17">
        <v>200.7</v>
      </c>
      <c r="I60" s="17">
        <v>200.7</v>
      </c>
      <c r="K60" s="16" t="s">
        <v>20</v>
      </c>
      <c r="L60" s="21">
        <v>0</v>
      </c>
      <c r="M60" s="21">
        <v>200.7</v>
      </c>
      <c r="N60" s="21">
        <v>200.7</v>
      </c>
      <c r="P60" s="29">
        <f t="shared" si="9"/>
        <v>0</v>
      </c>
      <c r="Q60" s="29">
        <f t="shared" si="10"/>
        <v>1632.3300000000002</v>
      </c>
      <c r="R60" s="29">
        <f t="shared" si="11"/>
        <v>1632.3300000000002</v>
      </c>
    </row>
    <row r="61" spans="1:18" ht="22.5" customHeight="1" thickBot="1" x14ac:dyDescent="0.3">
      <c r="A61" s="18" t="s">
        <v>21</v>
      </c>
      <c r="B61" s="23">
        <v>0</v>
      </c>
      <c r="C61" s="23">
        <v>8500</v>
      </c>
      <c r="D61" s="23">
        <v>8500</v>
      </c>
      <c r="F61" s="18" t="s">
        <v>21</v>
      </c>
      <c r="G61" s="28">
        <v>0</v>
      </c>
      <c r="H61" s="28">
        <v>0</v>
      </c>
      <c r="I61" s="28">
        <v>0</v>
      </c>
      <c r="K61" s="18" t="s">
        <v>21</v>
      </c>
      <c r="L61" s="28">
        <v>0</v>
      </c>
      <c r="M61" s="28">
        <v>0</v>
      </c>
      <c r="N61" s="28">
        <v>0</v>
      </c>
      <c r="P61" s="34">
        <f t="shared" ref="P61:P62" si="12">B61+G61+L61</f>
        <v>0</v>
      </c>
      <c r="Q61" s="34">
        <f t="shared" ref="Q61:Q62" si="13">C61+H61+M61</f>
        <v>8500</v>
      </c>
      <c r="R61" s="35">
        <f t="shared" ref="R61:R62" si="14">D61+I61+N61</f>
        <v>8500</v>
      </c>
    </row>
    <row r="62" spans="1:18" ht="22.5" customHeight="1" thickBot="1" x14ac:dyDescent="0.3">
      <c r="A62" s="19" t="s">
        <v>12</v>
      </c>
      <c r="B62" s="20">
        <v>0</v>
      </c>
      <c r="C62" s="20">
        <v>67481.13</v>
      </c>
      <c r="D62" s="20">
        <v>67481.13</v>
      </c>
      <c r="F62" s="19" t="s">
        <v>37</v>
      </c>
      <c r="G62" s="20">
        <v>0</v>
      </c>
      <c r="H62" s="20">
        <v>2499.3000000000002</v>
      </c>
      <c r="I62" s="20">
        <v>2499.3000000000002</v>
      </c>
      <c r="K62" s="19" t="s">
        <v>12</v>
      </c>
      <c r="L62" s="22">
        <v>0</v>
      </c>
      <c r="M62" s="22">
        <v>2987.54</v>
      </c>
      <c r="N62" s="22">
        <v>2987.54</v>
      </c>
      <c r="P62" s="37">
        <f t="shared" si="12"/>
        <v>0</v>
      </c>
      <c r="Q62" s="37">
        <f t="shared" si="13"/>
        <v>72967.97</v>
      </c>
      <c r="R62" s="37">
        <f t="shared" si="14"/>
        <v>72967.97</v>
      </c>
    </row>
    <row r="63" spans="1:18" ht="22.5" customHeight="1" thickBot="1" x14ac:dyDescent="0.3">
      <c r="Q63" s="37" t="s">
        <v>65</v>
      </c>
      <c r="R63" s="37">
        <f>SUM(R43+R62)</f>
        <v>136004.53</v>
      </c>
    </row>
  </sheetData>
  <mergeCells count="8">
    <mergeCell ref="L45:N45"/>
    <mergeCell ref="L7:N7"/>
    <mergeCell ref="L26:N26"/>
    <mergeCell ref="A26:D26"/>
    <mergeCell ref="B7:D7"/>
    <mergeCell ref="G7:I7"/>
    <mergeCell ref="G26:I26"/>
    <mergeCell ref="G45:I45"/>
  </mergeCells>
  <pageMargins left="0.7" right="0.7" top="0.75" bottom="0.75"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8:G912"/>
  <sheetViews>
    <sheetView workbookViewId="0">
      <selection activeCell="B13" sqref="B13:G13"/>
    </sheetView>
  </sheetViews>
  <sheetFormatPr baseColWidth="10" defaultRowHeight="15" x14ac:dyDescent="0.25"/>
  <cols>
    <col min="1" max="1" width="3.28515625" customWidth="1"/>
    <col min="2" max="2" width="8" style="33" customWidth="1"/>
    <col min="3" max="3" width="74.7109375" style="33" customWidth="1"/>
    <col min="4" max="4" width="19.7109375" style="33" customWidth="1"/>
    <col min="5" max="6" width="23.7109375" style="33" customWidth="1"/>
    <col min="7" max="7" width="46.7109375" style="33" customWidth="1"/>
  </cols>
  <sheetData>
    <row r="8" spans="2:7" x14ac:dyDescent="0.25">
      <c r="B8" s="192"/>
      <c r="C8" s="193"/>
      <c r="D8" s="193"/>
      <c r="E8" s="193"/>
      <c r="F8" s="193"/>
      <c r="G8" s="193"/>
    </row>
    <row r="9" spans="2:7" x14ac:dyDescent="0.25">
      <c r="B9" s="139" t="s">
        <v>181</v>
      </c>
      <c r="C9" s="140"/>
      <c r="D9" s="140"/>
      <c r="E9" s="140"/>
      <c r="F9" s="140"/>
      <c r="G9" s="140"/>
    </row>
    <row r="10" spans="2:7" x14ac:dyDescent="0.25">
      <c r="B10" s="139"/>
      <c r="C10" s="140"/>
      <c r="D10" s="140"/>
      <c r="E10" s="140"/>
      <c r="F10" s="140"/>
      <c r="G10" s="140"/>
    </row>
    <row r="11" spans="2:7" ht="65.25" customHeight="1" x14ac:dyDescent="0.25">
      <c r="B11" s="194" t="s">
        <v>182</v>
      </c>
      <c r="C11" s="195"/>
      <c r="D11" s="195"/>
      <c r="E11" s="195"/>
      <c r="F11" s="195"/>
      <c r="G11" s="195"/>
    </row>
    <row r="12" spans="2:7" ht="15" customHeight="1" thickBot="1" x14ac:dyDescent="0.3">
      <c r="B12" s="141"/>
      <c r="C12" s="142"/>
      <c r="D12" s="142"/>
      <c r="E12" s="142"/>
      <c r="F12" s="142"/>
      <c r="G12" s="142"/>
    </row>
    <row r="13" spans="2:7" ht="375" customHeight="1" thickBot="1" x14ac:dyDescent="0.3">
      <c r="B13" s="196" t="s">
        <v>237</v>
      </c>
      <c r="C13" s="197"/>
      <c r="D13" s="197"/>
      <c r="E13" s="197"/>
      <c r="F13" s="197"/>
      <c r="G13" s="198"/>
    </row>
    <row r="14" spans="2:7" x14ac:dyDescent="0.25">
      <c r="B14" s="143"/>
      <c r="C14" s="143"/>
      <c r="D14" s="143"/>
      <c r="E14" s="143"/>
      <c r="F14" s="143"/>
      <c r="G14" s="143"/>
    </row>
    <row r="15" spans="2:7" x14ac:dyDescent="0.25">
      <c r="B15" s="144"/>
      <c r="C15" s="144"/>
      <c r="D15" s="144"/>
      <c r="E15" s="144"/>
      <c r="F15" s="144"/>
      <c r="G15" s="144"/>
    </row>
    <row r="16" spans="2:7" x14ac:dyDescent="0.25">
      <c r="B16" s="145"/>
      <c r="C16" s="145"/>
      <c r="D16" s="145"/>
      <c r="E16" s="145"/>
      <c r="F16" s="145"/>
      <c r="G16" s="145"/>
    </row>
    <row r="17" spans="2:7" x14ac:dyDescent="0.25">
      <c r="B17" s="146"/>
      <c r="C17" s="146"/>
      <c r="D17" s="146"/>
      <c r="E17" s="146"/>
      <c r="F17" s="146"/>
      <c r="G17" s="146"/>
    </row>
    <row r="18" spans="2:7" x14ac:dyDescent="0.25">
      <c r="B18" s="146"/>
      <c r="C18" s="146"/>
      <c r="D18" s="146"/>
      <c r="E18" s="146"/>
      <c r="F18" s="146"/>
      <c r="G18" s="146"/>
    </row>
    <row r="19" spans="2:7" x14ac:dyDescent="0.25">
      <c r="B19" s="146"/>
      <c r="C19" s="146"/>
      <c r="D19" s="146"/>
      <c r="E19" s="146"/>
      <c r="F19" s="146"/>
      <c r="G19" s="146"/>
    </row>
    <row r="20" spans="2:7" x14ac:dyDescent="0.25">
      <c r="B20" s="146"/>
      <c r="C20" s="146"/>
      <c r="D20" s="146"/>
      <c r="E20" s="146"/>
      <c r="F20" s="146"/>
      <c r="G20" s="146"/>
    </row>
    <row r="21" spans="2:7" x14ac:dyDescent="0.25">
      <c r="B21" s="146"/>
      <c r="C21" s="146"/>
      <c r="D21" s="146"/>
      <c r="E21" s="146"/>
      <c r="F21" s="146"/>
      <c r="G21" s="146"/>
    </row>
    <row r="22" spans="2:7" x14ac:dyDescent="0.25">
      <c r="B22" s="146"/>
      <c r="C22" s="146"/>
      <c r="D22" s="146"/>
      <c r="E22" s="146"/>
      <c r="F22" s="146"/>
      <c r="G22" s="146"/>
    </row>
    <row r="23" spans="2:7" x14ac:dyDescent="0.25">
      <c r="B23" s="146"/>
      <c r="C23" s="146"/>
      <c r="D23" s="146"/>
      <c r="E23" s="146"/>
      <c r="F23" s="146"/>
      <c r="G23" s="146"/>
    </row>
    <row r="24" spans="2:7" x14ac:dyDescent="0.25">
      <c r="B24" s="146"/>
      <c r="C24" s="146"/>
      <c r="D24" s="146"/>
      <c r="E24" s="146"/>
      <c r="F24" s="146"/>
      <c r="G24" s="146"/>
    </row>
    <row r="25" spans="2:7" x14ac:dyDescent="0.25">
      <c r="B25" s="146"/>
      <c r="C25" s="146"/>
      <c r="D25" s="146"/>
      <c r="E25" s="146"/>
      <c r="F25" s="146"/>
      <c r="G25" s="146"/>
    </row>
    <row r="26" spans="2:7" x14ac:dyDescent="0.25">
      <c r="B26" s="146"/>
      <c r="C26" s="146"/>
      <c r="D26" s="146"/>
      <c r="E26" s="146"/>
      <c r="F26" s="146"/>
      <c r="G26" s="146"/>
    </row>
    <row r="27" spans="2:7" x14ac:dyDescent="0.25">
      <c r="B27" s="146"/>
      <c r="C27" s="146"/>
      <c r="D27" s="146"/>
      <c r="E27" s="146"/>
      <c r="F27" s="146"/>
      <c r="G27" s="146"/>
    </row>
    <row r="28" spans="2:7" x14ac:dyDescent="0.25">
      <c r="B28" s="146"/>
      <c r="C28" s="146"/>
      <c r="D28" s="146"/>
      <c r="E28" s="146"/>
      <c r="F28" s="146"/>
      <c r="G28" s="146"/>
    </row>
    <row r="29" spans="2:7" x14ac:dyDescent="0.25">
      <c r="B29" s="146"/>
      <c r="C29" s="146"/>
      <c r="D29" s="146"/>
      <c r="E29" s="146"/>
      <c r="F29" s="146"/>
      <c r="G29" s="146"/>
    </row>
    <row r="30" spans="2:7" x14ac:dyDescent="0.25">
      <c r="B30" s="146"/>
      <c r="C30" s="146"/>
      <c r="D30" s="146"/>
      <c r="E30" s="146"/>
      <c r="F30" s="146"/>
      <c r="G30" s="146"/>
    </row>
    <row r="31" spans="2:7" x14ac:dyDescent="0.25">
      <c r="B31" s="146"/>
      <c r="C31" s="146"/>
      <c r="D31" s="146"/>
      <c r="E31" s="146"/>
      <c r="F31" s="146"/>
      <c r="G31" s="146"/>
    </row>
    <row r="32" spans="2:7" x14ac:dyDescent="0.25">
      <c r="B32" s="146"/>
      <c r="C32" s="146"/>
      <c r="D32" s="146"/>
      <c r="E32" s="146"/>
      <c r="F32" s="146"/>
      <c r="G32" s="146"/>
    </row>
    <row r="33" spans="2:7" x14ac:dyDescent="0.25">
      <c r="B33" s="146"/>
      <c r="C33" s="146"/>
      <c r="D33" s="146"/>
      <c r="E33" s="146"/>
      <c r="F33" s="146"/>
      <c r="G33" s="146"/>
    </row>
    <row r="34" spans="2:7" x14ac:dyDescent="0.25">
      <c r="B34" s="146"/>
      <c r="C34" s="146"/>
      <c r="D34" s="146"/>
      <c r="E34" s="146"/>
      <c r="F34" s="146"/>
      <c r="G34" s="146"/>
    </row>
    <row r="35" spans="2:7" x14ac:dyDescent="0.25">
      <c r="B35" s="146"/>
      <c r="C35" s="146"/>
      <c r="D35" s="146"/>
      <c r="E35" s="146"/>
      <c r="F35" s="146"/>
      <c r="G35" s="146"/>
    </row>
    <row r="36" spans="2:7" x14ac:dyDescent="0.25">
      <c r="B36" s="146"/>
      <c r="C36" s="146"/>
      <c r="D36" s="146"/>
      <c r="E36" s="146"/>
      <c r="F36" s="146"/>
      <c r="G36" s="146"/>
    </row>
    <row r="37" spans="2:7" x14ac:dyDescent="0.25">
      <c r="B37" s="146"/>
      <c r="C37" s="146"/>
      <c r="D37" s="146"/>
      <c r="E37" s="146"/>
      <c r="F37" s="146"/>
      <c r="G37" s="146"/>
    </row>
    <row r="38" spans="2:7" x14ac:dyDescent="0.25">
      <c r="B38" s="146"/>
      <c r="C38" s="146"/>
      <c r="D38" s="146"/>
      <c r="E38" s="146"/>
      <c r="F38" s="146"/>
      <c r="G38" s="146"/>
    </row>
    <row r="39" spans="2:7" x14ac:dyDescent="0.25">
      <c r="B39" s="146"/>
      <c r="C39" s="146"/>
      <c r="D39" s="146"/>
      <c r="E39" s="146"/>
      <c r="F39" s="146"/>
      <c r="G39" s="146"/>
    </row>
    <row r="40" spans="2:7" x14ac:dyDescent="0.25">
      <c r="B40" s="146"/>
      <c r="C40" s="146"/>
      <c r="D40" s="146"/>
      <c r="E40" s="146"/>
      <c r="F40" s="146"/>
      <c r="G40" s="146"/>
    </row>
    <row r="41" spans="2:7" x14ac:dyDescent="0.25">
      <c r="B41" s="146"/>
      <c r="C41" s="146"/>
      <c r="D41" s="146"/>
      <c r="E41" s="146"/>
      <c r="F41" s="146"/>
      <c r="G41" s="146"/>
    </row>
    <row r="42" spans="2:7" x14ac:dyDescent="0.25">
      <c r="B42" s="146"/>
      <c r="C42" s="146"/>
      <c r="D42" s="146"/>
      <c r="E42" s="146"/>
      <c r="F42" s="146"/>
      <c r="G42" s="146"/>
    </row>
    <row r="43" spans="2:7" x14ac:dyDescent="0.25">
      <c r="B43" s="146"/>
      <c r="C43" s="146"/>
      <c r="D43" s="146"/>
      <c r="E43" s="146"/>
      <c r="F43" s="146"/>
      <c r="G43" s="146"/>
    </row>
    <row r="44" spans="2:7" x14ac:dyDescent="0.25">
      <c r="B44" s="146"/>
      <c r="C44" s="146"/>
      <c r="D44" s="146"/>
      <c r="E44" s="146"/>
      <c r="F44" s="146"/>
      <c r="G44" s="146"/>
    </row>
    <row r="45" spans="2:7" x14ac:dyDescent="0.25">
      <c r="B45" s="146"/>
      <c r="C45" s="146"/>
      <c r="D45" s="146"/>
      <c r="E45" s="146"/>
      <c r="F45" s="146"/>
      <c r="G45" s="146"/>
    </row>
    <row r="46" spans="2:7" x14ac:dyDescent="0.25">
      <c r="B46" s="146"/>
      <c r="C46" s="146"/>
      <c r="D46" s="146"/>
      <c r="E46" s="146"/>
      <c r="F46" s="146"/>
      <c r="G46" s="146"/>
    </row>
    <row r="47" spans="2:7" x14ac:dyDescent="0.25">
      <c r="B47" s="146"/>
      <c r="C47" s="146"/>
      <c r="D47" s="146"/>
      <c r="E47" s="146"/>
      <c r="F47" s="146"/>
      <c r="G47" s="146"/>
    </row>
    <row r="48" spans="2:7" x14ac:dyDescent="0.25">
      <c r="B48" s="146"/>
      <c r="C48" s="146"/>
      <c r="D48" s="146"/>
      <c r="E48" s="146"/>
      <c r="F48" s="146"/>
      <c r="G48" s="146"/>
    </row>
    <row r="49" spans="2:7" x14ac:dyDescent="0.25">
      <c r="B49" s="146"/>
      <c r="C49" s="146"/>
      <c r="D49" s="146"/>
      <c r="E49" s="146"/>
      <c r="F49" s="146"/>
      <c r="G49" s="146"/>
    </row>
    <row r="50" spans="2:7" x14ac:dyDescent="0.25">
      <c r="B50" s="146"/>
      <c r="C50" s="146"/>
      <c r="D50" s="146"/>
      <c r="E50" s="146"/>
      <c r="F50" s="146"/>
      <c r="G50" s="146"/>
    </row>
    <row r="51" spans="2:7" x14ac:dyDescent="0.25">
      <c r="B51" s="146"/>
      <c r="C51" s="146"/>
      <c r="D51" s="146"/>
      <c r="E51" s="146"/>
      <c r="F51" s="146"/>
      <c r="G51" s="146"/>
    </row>
    <row r="52" spans="2:7" x14ac:dyDescent="0.25">
      <c r="B52" s="146"/>
      <c r="C52" s="146"/>
      <c r="D52" s="146"/>
      <c r="E52" s="146"/>
      <c r="F52" s="146"/>
      <c r="G52" s="146"/>
    </row>
    <row r="53" spans="2:7" x14ac:dyDescent="0.25">
      <c r="B53" s="146"/>
      <c r="C53" s="146"/>
      <c r="D53" s="146"/>
      <c r="E53" s="146"/>
      <c r="F53" s="146"/>
      <c r="G53" s="146"/>
    </row>
    <row r="54" spans="2:7" x14ac:dyDescent="0.25">
      <c r="B54" s="146"/>
      <c r="C54" s="146"/>
      <c r="D54" s="146"/>
      <c r="E54" s="146"/>
      <c r="F54" s="146"/>
      <c r="G54" s="146"/>
    </row>
    <row r="55" spans="2:7" x14ac:dyDescent="0.25">
      <c r="B55" s="146"/>
      <c r="C55" s="146"/>
      <c r="D55" s="146"/>
      <c r="E55" s="146"/>
      <c r="F55" s="146"/>
      <c r="G55" s="146"/>
    </row>
    <row r="56" spans="2:7" x14ac:dyDescent="0.25">
      <c r="B56" s="146"/>
      <c r="C56" s="146"/>
      <c r="D56" s="146"/>
      <c r="E56" s="146"/>
      <c r="F56" s="146"/>
      <c r="G56" s="146"/>
    </row>
    <row r="57" spans="2:7" x14ac:dyDescent="0.25">
      <c r="B57" s="146"/>
      <c r="C57" s="146"/>
      <c r="D57" s="146"/>
      <c r="E57" s="146"/>
      <c r="F57" s="146"/>
      <c r="G57" s="146"/>
    </row>
    <row r="58" spans="2:7" x14ac:dyDescent="0.25">
      <c r="B58" s="146"/>
      <c r="C58" s="146"/>
      <c r="D58" s="146"/>
      <c r="E58" s="146"/>
      <c r="F58" s="146"/>
      <c r="G58" s="146"/>
    </row>
    <row r="59" spans="2:7" x14ac:dyDescent="0.25">
      <c r="B59" s="146"/>
      <c r="C59" s="146"/>
      <c r="D59" s="146"/>
      <c r="E59" s="146"/>
      <c r="F59" s="146"/>
      <c r="G59" s="146"/>
    </row>
    <row r="60" spans="2:7" x14ac:dyDescent="0.25">
      <c r="B60" s="146"/>
      <c r="C60" s="146"/>
      <c r="D60" s="146"/>
      <c r="E60" s="146"/>
      <c r="F60" s="146"/>
      <c r="G60" s="146"/>
    </row>
    <row r="61" spans="2:7" x14ac:dyDescent="0.25">
      <c r="B61" s="146"/>
      <c r="C61" s="146"/>
      <c r="D61" s="146"/>
      <c r="E61" s="146"/>
      <c r="F61" s="146"/>
      <c r="G61" s="146"/>
    </row>
    <row r="62" spans="2:7" x14ac:dyDescent="0.25">
      <c r="B62" s="146"/>
      <c r="C62" s="146"/>
      <c r="D62" s="146"/>
      <c r="E62" s="146"/>
      <c r="F62" s="146"/>
      <c r="G62" s="146"/>
    </row>
    <row r="63" spans="2:7" x14ac:dyDescent="0.25">
      <c r="B63" s="146"/>
      <c r="C63" s="146"/>
      <c r="D63" s="146"/>
      <c r="E63" s="146"/>
      <c r="F63" s="146"/>
      <c r="G63" s="146"/>
    </row>
    <row r="64" spans="2:7" x14ac:dyDescent="0.25">
      <c r="B64" s="146"/>
      <c r="C64" s="146"/>
      <c r="D64" s="146"/>
      <c r="E64" s="146"/>
      <c r="F64" s="146"/>
      <c r="G64" s="146"/>
    </row>
    <row r="65" spans="2:7" x14ac:dyDescent="0.25">
      <c r="B65" s="146"/>
      <c r="C65" s="146"/>
      <c r="D65" s="146"/>
      <c r="E65" s="146"/>
      <c r="F65" s="146"/>
      <c r="G65" s="146"/>
    </row>
    <row r="66" spans="2:7" x14ac:dyDescent="0.25">
      <c r="B66" s="146"/>
      <c r="C66" s="146"/>
      <c r="D66" s="146"/>
      <c r="E66" s="146"/>
      <c r="F66" s="146"/>
      <c r="G66" s="146"/>
    </row>
    <row r="67" spans="2:7" x14ac:dyDescent="0.25">
      <c r="B67" s="146"/>
      <c r="C67" s="146"/>
      <c r="D67" s="146"/>
      <c r="E67" s="146"/>
      <c r="F67" s="146"/>
      <c r="G67" s="146"/>
    </row>
    <row r="68" spans="2:7" x14ac:dyDescent="0.25">
      <c r="B68" s="146"/>
      <c r="C68" s="146"/>
      <c r="D68" s="146"/>
      <c r="E68" s="146"/>
      <c r="F68" s="146"/>
      <c r="G68" s="146"/>
    </row>
    <row r="69" spans="2:7" x14ac:dyDescent="0.25">
      <c r="B69" s="146"/>
      <c r="C69" s="146"/>
      <c r="D69" s="146"/>
      <c r="E69" s="146"/>
      <c r="F69" s="146"/>
      <c r="G69" s="146"/>
    </row>
    <row r="70" spans="2:7" x14ac:dyDescent="0.25">
      <c r="B70" s="146"/>
      <c r="C70" s="146"/>
      <c r="D70" s="146"/>
      <c r="E70" s="146"/>
      <c r="F70" s="146"/>
      <c r="G70" s="146"/>
    </row>
    <row r="71" spans="2:7" x14ac:dyDescent="0.25">
      <c r="B71" s="146"/>
      <c r="C71" s="146"/>
      <c r="D71" s="146"/>
      <c r="E71" s="146"/>
      <c r="F71" s="146"/>
      <c r="G71" s="146"/>
    </row>
    <row r="72" spans="2:7" x14ac:dyDescent="0.25">
      <c r="B72" s="146"/>
      <c r="C72" s="146"/>
      <c r="D72" s="146"/>
      <c r="E72" s="146"/>
      <c r="F72" s="146"/>
      <c r="G72" s="146"/>
    </row>
    <row r="73" spans="2:7" x14ac:dyDescent="0.25">
      <c r="B73" s="146"/>
      <c r="C73" s="146"/>
      <c r="D73" s="146"/>
      <c r="E73" s="146"/>
      <c r="F73" s="146"/>
      <c r="G73" s="146"/>
    </row>
    <row r="74" spans="2:7" x14ac:dyDescent="0.25">
      <c r="B74" s="146"/>
      <c r="C74" s="146"/>
      <c r="D74" s="146"/>
      <c r="E74" s="146"/>
      <c r="F74" s="146"/>
      <c r="G74" s="146"/>
    </row>
    <row r="75" spans="2:7" x14ac:dyDescent="0.25">
      <c r="B75" s="146"/>
      <c r="C75" s="146"/>
      <c r="D75" s="146"/>
      <c r="E75" s="146"/>
      <c r="F75" s="146"/>
      <c r="G75" s="146"/>
    </row>
    <row r="76" spans="2:7" x14ac:dyDescent="0.25">
      <c r="B76" s="146"/>
      <c r="C76" s="146"/>
      <c r="D76" s="146"/>
      <c r="E76" s="146"/>
      <c r="F76" s="146"/>
      <c r="G76" s="146"/>
    </row>
    <row r="77" spans="2:7" x14ac:dyDescent="0.25">
      <c r="B77" s="146"/>
      <c r="C77" s="146"/>
      <c r="D77" s="146"/>
      <c r="E77" s="146"/>
      <c r="F77" s="146"/>
      <c r="G77" s="146"/>
    </row>
    <row r="78" spans="2:7" x14ac:dyDescent="0.25">
      <c r="B78" s="146"/>
      <c r="C78" s="146"/>
      <c r="D78" s="146"/>
      <c r="E78" s="146"/>
      <c r="F78" s="146"/>
      <c r="G78" s="146"/>
    </row>
    <row r="79" spans="2:7" x14ac:dyDescent="0.25">
      <c r="B79" s="146"/>
      <c r="C79" s="146"/>
      <c r="D79" s="146"/>
      <c r="E79" s="146"/>
      <c r="F79" s="146"/>
      <c r="G79" s="146"/>
    </row>
    <row r="80" spans="2:7" x14ac:dyDescent="0.25">
      <c r="B80" s="146"/>
      <c r="C80" s="146"/>
      <c r="D80" s="146"/>
      <c r="E80" s="146"/>
      <c r="F80" s="146"/>
      <c r="G80" s="146"/>
    </row>
    <row r="81" spans="2:7" x14ac:dyDescent="0.25">
      <c r="B81" s="146"/>
      <c r="C81" s="146"/>
      <c r="D81" s="146"/>
      <c r="E81" s="146"/>
      <c r="F81" s="146"/>
      <c r="G81" s="146"/>
    </row>
    <row r="82" spans="2:7" x14ac:dyDescent="0.25">
      <c r="B82" s="146"/>
      <c r="C82" s="146"/>
      <c r="D82" s="146"/>
      <c r="E82" s="146"/>
      <c r="F82" s="146"/>
      <c r="G82" s="146"/>
    </row>
    <row r="83" spans="2:7" x14ac:dyDescent="0.25">
      <c r="B83" s="146"/>
      <c r="C83" s="146"/>
      <c r="D83" s="146"/>
      <c r="E83" s="146"/>
      <c r="F83" s="146"/>
      <c r="G83" s="146"/>
    </row>
    <row r="84" spans="2:7" x14ac:dyDescent="0.25">
      <c r="B84" s="146"/>
      <c r="C84" s="146"/>
      <c r="D84" s="146"/>
      <c r="E84" s="146"/>
      <c r="F84" s="146"/>
      <c r="G84" s="146"/>
    </row>
    <row r="85" spans="2:7" x14ac:dyDescent="0.25">
      <c r="B85" s="146"/>
      <c r="C85" s="146"/>
      <c r="D85" s="146"/>
      <c r="E85" s="146"/>
      <c r="F85" s="146"/>
      <c r="G85" s="146"/>
    </row>
    <row r="86" spans="2:7" x14ac:dyDescent="0.25">
      <c r="B86" s="146"/>
      <c r="C86" s="146"/>
      <c r="D86" s="146"/>
      <c r="E86" s="146"/>
      <c r="F86" s="146"/>
      <c r="G86" s="146"/>
    </row>
    <row r="87" spans="2:7" x14ac:dyDescent="0.25">
      <c r="B87" s="146"/>
      <c r="C87" s="146"/>
      <c r="D87" s="146"/>
      <c r="E87" s="146"/>
      <c r="F87" s="146"/>
      <c r="G87" s="146"/>
    </row>
    <row r="88" spans="2:7" x14ac:dyDescent="0.25">
      <c r="B88" s="146"/>
      <c r="C88" s="146"/>
      <c r="D88" s="146"/>
      <c r="E88" s="146"/>
      <c r="F88" s="146"/>
      <c r="G88" s="146"/>
    </row>
    <row r="89" spans="2:7" x14ac:dyDescent="0.25">
      <c r="B89" s="146"/>
      <c r="C89" s="146"/>
      <c r="D89" s="146"/>
      <c r="E89" s="146"/>
      <c r="F89" s="146"/>
      <c r="G89" s="146"/>
    </row>
    <row r="90" spans="2:7" x14ac:dyDescent="0.25">
      <c r="B90" s="146"/>
      <c r="C90" s="146"/>
      <c r="D90" s="146"/>
      <c r="E90" s="146"/>
      <c r="F90" s="146"/>
      <c r="G90" s="146"/>
    </row>
    <row r="91" spans="2:7" x14ac:dyDescent="0.25">
      <c r="B91" s="146"/>
      <c r="C91" s="146"/>
      <c r="D91" s="146"/>
      <c r="E91" s="146"/>
      <c r="F91" s="146"/>
      <c r="G91" s="146"/>
    </row>
    <row r="92" spans="2:7" x14ac:dyDescent="0.25">
      <c r="B92" s="146"/>
      <c r="C92" s="146"/>
      <c r="D92" s="146"/>
      <c r="E92" s="146"/>
      <c r="F92" s="146"/>
      <c r="G92" s="146"/>
    </row>
    <row r="93" spans="2:7" x14ac:dyDescent="0.25">
      <c r="B93" s="146"/>
      <c r="C93" s="146"/>
      <c r="D93" s="146"/>
      <c r="E93" s="146"/>
      <c r="F93" s="146"/>
      <c r="G93" s="146"/>
    </row>
    <row r="94" spans="2:7" x14ac:dyDescent="0.25">
      <c r="B94" s="146"/>
      <c r="C94" s="146"/>
      <c r="D94" s="146"/>
      <c r="E94" s="146"/>
      <c r="F94" s="146"/>
      <c r="G94" s="146"/>
    </row>
    <row r="95" spans="2:7" x14ac:dyDescent="0.25">
      <c r="B95" s="146"/>
      <c r="C95" s="146"/>
      <c r="D95" s="146"/>
      <c r="E95" s="146"/>
      <c r="F95" s="146"/>
      <c r="G95" s="146"/>
    </row>
    <row r="96" spans="2:7" x14ac:dyDescent="0.25">
      <c r="B96" s="146"/>
      <c r="C96" s="146"/>
      <c r="D96" s="146"/>
      <c r="E96" s="146"/>
      <c r="F96" s="146"/>
      <c r="G96" s="146"/>
    </row>
    <row r="97" spans="2:7" x14ac:dyDescent="0.25">
      <c r="B97" s="146"/>
      <c r="C97" s="146"/>
      <c r="D97" s="146"/>
      <c r="E97" s="146"/>
      <c r="F97" s="146"/>
      <c r="G97" s="146"/>
    </row>
    <row r="98" spans="2:7" x14ac:dyDescent="0.25">
      <c r="B98" s="146"/>
      <c r="C98" s="146"/>
      <c r="D98" s="146"/>
      <c r="E98" s="146"/>
      <c r="F98" s="146"/>
      <c r="G98" s="146"/>
    </row>
    <row r="99" spans="2:7" x14ac:dyDescent="0.25">
      <c r="B99" s="146"/>
      <c r="C99" s="146"/>
      <c r="D99" s="146"/>
      <c r="E99" s="146"/>
      <c r="F99" s="146"/>
      <c r="G99" s="146"/>
    </row>
    <row r="100" spans="2:7" x14ac:dyDescent="0.25">
      <c r="B100" s="146"/>
      <c r="C100" s="146"/>
      <c r="D100" s="146"/>
      <c r="E100" s="146"/>
      <c r="F100" s="146"/>
      <c r="G100" s="146"/>
    </row>
    <row r="101" spans="2:7" x14ac:dyDescent="0.25">
      <c r="B101" s="146"/>
      <c r="C101" s="146"/>
      <c r="D101" s="146"/>
      <c r="E101" s="146"/>
      <c r="F101" s="146"/>
      <c r="G101" s="146"/>
    </row>
    <row r="102" spans="2:7" x14ac:dyDescent="0.25">
      <c r="B102" s="146"/>
      <c r="C102" s="146"/>
      <c r="D102" s="146"/>
      <c r="E102" s="146"/>
      <c r="F102" s="146"/>
      <c r="G102" s="146"/>
    </row>
    <row r="103" spans="2:7" x14ac:dyDescent="0.25">
      <c r="B103" s="146"/>
      <c r="C103" s="146"/>
      <c r="D103" s="146"/>
      <c r="E103" s="146"/>
      <c r="F103" s="146"/>
      <c r="G103" s="146"/>
    </row>
    <row r="104" spans="2:7" x14ac:dyDescent="0.25">
      <c r="B104" s="146"/>
      <c r="C104" s="146"/>
      <c r="D104" s="146"/>
      <c r="E104" s="146"/>
      <c r="F104" s="146"/>
      <c r="G104" s="146"/>
    </row>
    <row r="105" spans="2:7" x14ac:dyDescent="0.25">
      <c r="B105" s="146"/>
      <c r="C105" s="146"/>
      <c r="D105" s="146"/>
      <c r="E105" s="146"/>
      <c r="F105" s="146"/>
      <c r="G105" s="146"/>
    </row>
    <row r="106" spans="2:7" x14ac:dyDescent="0.25">
      <c r="B106" s="146"/>
      <c r="C106" s="146"/>
      <c r="D106" s="146"/>
      <c r="E106" s="146"/>
      <c r="F106" s="146"/>
      <c r="G106" s="146"/>
    </row>
    <row r="107" spans="2:7" x14ac:dyDescent="0.25">
      <c r="B107" s="146"/>
      <c r="C107" s="146"/>
      <c r="D107" s="146"/>
      <c r="E107" s="146"/>
      <c r="F107" s="146"/>
      <c r="G107" s="146"/>
    </row>
    <row r="108" spans="2:7" x14ac:dyDescent="0.25">
      <c r="B108" s="146"/>
      <c r="C108" s="146"/>
      <c r="D108" s="146"/>
      <c r="E108" s="146"/>
      <c r="F108" s="146"/>
      <c r="G108" s="146"/>
    </row>
    <row r="109" spans="2:7" x14ac:dyDescent="0.25">
      <c r="B109" s="146"/>
      <c r="C109" s="146"/>
      <c r="D109" s="146"/>
      <c r="E109" s="146"/>
      <c r="F109" s="146"/>
      <c r="G109" s="146"/>
    </row>
    <row r="110" spans="2:7" x14ac:dyDescent="0.25">
      <c r="B110" s="146"/>
      <c r="C110" s="146"/>
      <c r="D110" s="146"/>
      <c r="E110" s="146"/>
      <c r="F110" s="146"/>
      <c r="G110" s="146"/>
    </row>
    <row r="111" spans="2:7" x14ac:dyDescent="0.25">
      <c r="B111" s="146"/>
      <c r="C111" s="146"/>
      <c r="D111" s="146"/>
      <c r="E111" s="146"/>
      <c r="F111" s="146"/>
      <c r="G111" s="146"/>
    </row>
    <row r="112" spans="2:7" x14ac:dyDescent="0.25">
      <c r="B112" s="146"/>
      <c r="C112" s="146"/>
      <c r="D112" s="146"/>
      <c r="E112" s="146"/>
      <c r="F112" s="146"/>
      <c r="G112" s="146"/>
    </row>
    <row r="113" spans="2:7" x14ac:dyDescent="0.25">
      <c r="B113" s="146"/>
      <c r="C113" s="146"/>
      <c r="D113" s="146"/>
      <c r="E113" s="146"/>
      <c r="F113" s="146"/>
      <c r="G113" s="146"/>
    </row>
    <row r="114" spans="2:7" x14ac:dyDescent="0.25">
      <c r="B114" s="146"/>
      <c r="C114" s="146"/>
      <c r="D114" s="146"/>
      <c r="E114" s="146"/>
      <c r="F114" s="146"/>
      <c r="G114" s="146"/>
    </row>
    <row r="115" spans="2:7" x14ac:dyDescent="0.25">
      <c r="B115" s="146"/>
      <c r="C115" s="146"/>
      <c r="D115" s="146"/>
      <c r="E115" s="146"/>
      <c r="F115" s="146"/>
      <c r="G115" s="146"/>
    </row>
    <row r="116" spans="2:7" x14ac:dyDescent="0.25">
      <c r="B116" s="146"/>
      <c r="C116" s="146"/>
      <c r="D116" s="146"/>
      <c r="E116" s="146"/>
      <c r="F116" s="146"/>
      <c r="G116" s="146"/>
    </row>
    <row r="117" spans="2:7" x14ac:dyDescent="0.25">
      <c r="B117" s="146"/>
      <c r="C117" s="146"/>
      <c r="D117" s="146"/>
      <c r="E117" s="146"/>
      <c r="F117" s="146"/>
      <c r="G117" s="146"/>
    </row>
    <row r="118" spans="2:7" x14ac:dyDescent="0.25">
      <c r="B118" s="146"/>
      <c r="C118" s="146"/>
      <c r="D118" s="146"/>
      <c r="E118" s="146"/>
      <c r="F118" s="146"/>
      <c r="G118" s="146"/>
    </row>
    <row r="119" spans="2:7" x14ac:dyDescent="0.25">
      <c r="B119" s="146"/>
      <c r="C119" s="146"/>
      <c r="D119" s="146"/>
      <c r="E119" s="146"/>
      <c r="F119" s="146"/>
      <c r="G119" s="146"/>
    </row>
    <row r="120" spans="2:7" x14ac:dyDescent="0.25">
      <c r="B120" s="146"/>
      <c r="C120" s="146"/>
      <c r="D120" s="146"/>
      <c r="E120" s="146"/>
      <c r="F120" s="146"/>
      <c r="G120" s="146"/>
    </row>
    <row r="121" spans="2:7" x14ac:dyDescent="0.25">
      <c r="B121" s="146"/>
      <c r="C121" s="146"/>
      <c r="D121" s="146"/>
      <c r="E121" s="146"/>
      <c r="F121" s="146"/>
      <c r="G121" s="146"/>
    </row>
    <row r="122" spans="2:7" x14ac:dyDescent="0.25">
      <c r="B122" s="146"/>
      <c r="C122" s="146"/>
      <c r="D122" s="146"/>
      <c r="E122" s="146"/>
      <c r="F122" s="146"/>
      <c r="G122" s="146"/>
    </row>
    <row r="123" spans="2:7" x14ac:dyDescent="0.25">
      <c r="B123" s="146"/>
      <c r="C123" s="146"/>
      <c r="D123" s="146"/>
      <c r="E123" s="146"/>
      <c r="F123" s="146"/>
      <c r="G123" s="146"/>
    </row>
    <row r="124" spans="2:7" x14ac:dyDescent="0.25">
      <c r="B124" s="146"/>
      <c r="C124" s="146"/>
      <c r="D124" s="146"/>
      <c r="E124" s="146"/>
      <c r="F124" s="146"/>
      <c r="G124" s="146"/>
    </row>
    <row r="125" spans="2:7" x14ac:dyDescent="0.25">
      <c r="B125" s="146"/>
      <c r="C125" s="146"/>
      <c r="D125" s="146"/>
      <c r="E125" s="146"/>
      <c r="F125" s="146"/>
      <c r="G125" s="146"/>
    </row>
    <row r="126" spans="2:7" x14ac:dyDescent="0.25">
      <c r="B126" s="146"/>
      <c r="C126" s="146"/>
      <c r="D126" s="146"/>
      <c r="E126" s="146"/>
      <c r="F126" s="146"/>
      <c r="G126" s="146"/>
    </row>
    <row r="127" spans="2:7" x14ac:dyDescent="0.25">
      <c r="B127" s="146"/>
      <c r="C127" s="146"/>
      <c r="D127" s="146"/>
      <c r="E127" s="146"/>
      <c r="F127" s="146"/>
      <c r="G127" s="146"/>
    </row>
    <row r="128" spans="2:7" x14ac:dyDescent="0.25">
      <c r="B128" s="146"/>
      <c r="C128" s="146"/>
      <c r="D128" s="146"/>
      <c r="E128" s="146"/>
      <c r="F128" s="146"/>
      <c r="G128" s="146"/>
    </row>
    <row r="129" spans="2:7" x14ac:dyDescent="0.25">
      <c r="B129" s="146"/>
      <c r="C129" s="146"/>
      <c r="D129" s="146"/>
      <c r="E129" s="146"/>
      <c r="F129" s="146"/>
      <c r="G129" s="146"/>
    </row>
    <row r="130" spans="2:7" x14ac:dyDescent="0.25">
      <c r="B130" s="146"/>
      <c r="C130" s="146"/>
      <c r="D130" s="146"/>
      <c r="E130" s="146"/>
      <c r="F130" s="146"/>
      <c r="G130" s="146"/>
    </row>
    <row r="131" spans="2:7" x14ac:dyDescent="0.25">
      <c r="B131" s="146"/>
      <c r="C131" s="146"/>
      <c r="D131" s="146"/>
      <c r="E131" s="146"/>
      <c r="F131" s="146"/>
      <c r="G131" s="146"/>
    </row>
    <row r="132" spans="2:7" x14ac:dyDescent="0.25">
      <c r="B132" s="146"/>
      <c r="C132" s="146"/>
      <c r="D132" s="146"/>
      <c r="E132" s="146"/>
      <c r="F132" s="146"/>
      <c r="G132" s="146"/>
    </row>
    <row r="133" spans="2:7" x14ac:dyDescent="0.25">
      <c r="B133" s="146"/>
      <c r="C133" s="146"/>
      <c r="D133" s="146"/>
      <c r="E133" s="146"/>
      <c r="F133" s="146"/>
      <c r="G133" s="146"/>
    </row>
    <row r="134" spans="2:7" x14ac:dyDescent="0.25">
      <c r="B134" s="146"/>
      <c r="C134" s="146"/>
      <c r="D134" s="146"/>
      <c r="E134" s="146"/>
      <c r="F134" s="146"/>
      <c r="G134" s="146"/>
    </row>
    <row r="135" spans="2:7" x14ac:dyDescent="0.25">
      <c r="B135" s="146"/>
      <c r="C135" s="146"/>
      <c r="D135" s="146"/>
      <c r="E135" s="146"/>
      <c r="F135" s="146"/>
      <c r="G135" s="146"/>
    </row>
    <row r="136" spans="2:7" x14ac:dyDescent="0.25">
      <c r="B136" s="146"/>
      <c r="C136" s="146"/>
      <c r="D136" s="146"/>
      <c r="E136" s="146"/>
      <c r="F136" s="146"/>
      <c r="G136" s="146"/>
    </row>
    <row r="137" spans="2:7" x14ac:dyDescent="0.25">
      <c r="B137" s="146"/>
      <c r="C137" s="146"/>
      <c r="D137" s="146"/>
      <c r="E137" s="146"/>
      <c r="F137" s="146"/>
      <c r="G137" s="146"/>
    </row>
    <row r="138" spans="2:7" x14ac:dyDescent="0.25">
      <c r="B138" s="146"/>
      <c r="C138" s="146"/>
      <c r="D138" s="146"/>
      <c r="E138" s="146"/>
      <c r="F138" s="146"/>
      <c r="G138" s="146"/>
    </row>
    <row r="139" spans="2:7" x14ac:dyDescent="0.25">
      <c r="B139" s="146"/>
      <c r="C139" s="146"/>
      <c r="D139" s="146"/>
      <c r="E139" s="146"/>
      <c r="F139" s="146"/>
      <c r="G139" s="146"/>
    </row>
    <row r="140" spans="2:7" x14ac:dyDescent="0.25">
      <c r="B140" s="146"/>
      <c r="C140" s="146"/>
      <c r="D140" s="146"/>
      <c r="E140" s="146"/>
      <c r="F140" s="146"/>
      <c r="G140" s="146"/>
    </row>
    <row r="141" spans="2:7" x14ac:dyDescent="0.25">
      <c r="B141" s="146"/>
      <c r="C141" s="146"/>
      <c r="D141" s="146"/>
      <c r="E141" s="146"/>
      <c r="F141" s="146"/>
      <c r="G141" s="146"/>
    </row>
    <row r="142" spans="2:7" x14ac:dyDescent="0.25">
      <c r="B142" s="146"/>
      <c r="C142" s="146"/>
      <c r="D142" s="146"/>
      <c r="E142" s="146"/>
      <c r="F142" s="146"/>
      <c r="G142" s="146"/>
    </row>
    <row r="143" spans="2:7" x14ac:dyDescent="0.25">
      <c r="B143" s="146"/>
      <c r="C143" s="146"/>
      <c r="D143" s="146"/>
      <c r="E143" s="146"/>
      <c r="F143" s="146"/>
      <c r="G143" s="146"/>
    </row>
    <row r="144" spans="2:7" x14ac:dyDescent="0.25">
      <c r="B144" s="146"/>
      <c r="C144" s="146"/>
      <c r="D144" s="146"/>
      <c r="E144" s="146"/>
      <c r="F144" s="146"/>
      <c r="G144" s="146"/>
    </row>
    <row r="145" spans="2:7" x14ac:dyDescent="0.25">
      <c r="B145" s="146"/>
      <c r="C145" s="146"/>
      <c r="D145" s="146"/>
      <c r="E145" s="146"/>
      <c r="F145" s="146"/>
      <c r="G145" s="146"/>
    </row>
    <row r="146" spans="2:7" x14ac:dyDescent="0.25">
      <c r="B146" s="146"/>
      <c r="C146" s="146"/>
      <c r="D146" s="146"/>
      <c r="E146" s="146"/>
      <c r="F146" s="146"/>
      <c r="G146" s="146"/>
    </row>
    <row r="147" spans="2:7" x14ac:dyDescent="0.25">
      <c r="B147" s="146"/>
      <c r="C147" s="146"/>
      <c r="D147" s="146"/>
      <c r="E147" s="146"/>
      <c r="F147" s="146"/>
      <c r="G147" s="146"/>
    </row>
    <row r="148" spans="2:7" x14ac:dyDescent="0.25">
      <c r="B148" s="146"/>
      <c r="C148" s="146"/>
      <c r="D148" s="146"/>
      <c r="E148" s="146"/>
      <c r="F148" s="146"/>
      <c r="G148" s="146"/>
    </row>
    <row r="149" spans="2:7" x14ac:dyDescent="0.25">
      <c r="B149" s="146"/>
      <c r="C149" s="146"/>
      <c r="D149" s="146"/>
      <c r="E149" s="146"/>
      <c r="F149" s="146"/>
      <c r="G149" s="146"/>
    </row>
    <row r="150" spans="2:7" x14ac:dyDescent="0.25">
      <c r="B150" s="146"/>
      <c r="C150" s="146"/>
      <c r="D150" s="146"/>
      <c r="E150" s="146"/>
      <c r="F150" s="146"/>
      <c r="G150" s="146"/>
    </row>
    <row r="151" spans="2:7" x14ac:dyDescent="0.25">
      <c r="B151" s="146"/>
      <c r="C151" s="146"/>
      <c r="D151" s="146"/>
      <c r="E151" s="146"/>
      <c r="F151" s="146"/>
      <c r="G151" s="146"/>
    </row>
    <row r="152" spans="2:7" x14ac:dyDescent="0.25">
      <c r="B152" s="146"/>
      <c r="C152" s="146"/>
      <c r="D152" s="146"/>
      <c r="E152" s="146"/>
      <c r="F152" s="146"/>
      <c r="G152" s="146"/>
    </row>
    <row r="153" spans="2:7" x14ac:dyDescent="0.25">
      <c r="B153" s="146"/>
      <c r="C153" s="146"/>
      <c r="D153" s="146"/>
      <c r="E153" s="146"/>
      <c r="F153" s="146"/>
      <c r="G153" s="146"/>
    </row>
    <row r="154" spans="2:7" x14ac:dyDescent="0.25">
      <c r="B154" s="146"/>
      <c r="C154" s="146"/>
      <c r="D154" s="146"/>
      <c r="E154" s="146"/>
      <c r="F154" s="146"/>
      <c r="G154" s="146"/>
    </row>
    <row r="155" spans="2:7" x14ac:dyDescent="0.25">
      <c r="B155" s="146"/>
      <c r="C155" s="146"/>
      <c r="D155" s="146"/>
      <c r="E155" s="146"/>
      <c r="F155" s="146"/>
      <c r="G155" s="146"/>
    </row>
    <row r="156" spans="2:7" x14ac:dyDescent="0.25">
      <c r="B156" s="146"/>
      <c r="C156" s="146"/>
      <c r="D156" s="146"/>
      <c r="E156" s="146"/>
      <c r="F156" s="146"/>
      <c r="G156" s="146"/>
    </row>
    <row r="157" spans="2:7" x14ac:dyDescent="0.25">
      <c r="B157" s="146"/>
      <c r="C157" s="146"/>
      <c r="D157" s="146"/>
      <c r="E157" s="146"/>
      <c r="F157" s="146"/>
      <c r="G157" s="146"/>
    </row>
    <row r="158" spans="2:7" x14ac:dyDescent="0.25">
      <c r="B158" s="146"/>
      <c r="C158" s="146"/>
      <c r="D158" s="146"/>
      <c r="E158" s="146"/>
      <c r="F158" s="146"/>
      <c r="G158" s="146"/>
    </row>
    <row r="159" spans="2:7" x14ac:dyDescent="0.25">
      <c r="B159" s="146"/>
      <c r="C159" s="146"/>
      <c r="D159" s="146"/>
      <c r="E159" s="146"/>
      <c r="F159" s="146"/>
      <c r="G159" s="146"/>
    </row>
    <row r="160" spans="2:7" x14ac:dyDescent="0.25">
      <c r="B160" s="146"/>
      <c r="C160" s="146"/>
      <c r="D160" s="146"/>
      <c r="E160" s="146"/>
      <c r="F160" s="146"/>
      <c r="G160" s="146"/>
    </row>
    <row r="161" spans="2:7" x14ac:dyDescent="0.25">
      <c r="B161" s="146"/>
      <c r="C161" s="146"/>
      <c r="D161" s="146"/>
      <c r="E161" s="146"/>
      <c r="F161" s="146"/>
      <c r="G161" s="146"/>
    </row>
    <row r="162" spans="2:7" x14ac:dyDescent="0.25">
      <c r="B162" s="146"/>
      <c r="C162" s="146"/>
      <c r="D162" s="146"/>
      <c r="E162" s="146"/>
      <c r="F162" s="146"/>
      <c r="G162" s="146"/>
    </row>
    <row r="163" spans="2:7" x14ac:dyDescent="0.25">
      <c r="B163" s="146"/>
      <c r="C163" s="146"/>
      <c r="D163" s="146"/>
      <c r="E163" s="146"/>
      <c r="F163" s="146"/>
      <c r="G163" s="146"/>
    </row>
    <row r="164" spans="2:7" x14ac:dyDescent="0.25">
      <c r="B164" s="146"/>
      <c r="C164" s="146"/>
      <c r="D164" s="146"/>
      <c r="E164" s="146"/>
      <c r="F164" s="146"/>
      <c r="G164" s="146"/>
    </row>
    <row r="165" spans="2:7" x14ac:dyDescent="0.25">
      <c r="B165" s="146"/>
      <c r="C165" s="146"/>
      <c r="D165" s="146"/>
      <c r="E165" s="146"/>
      <c r="F165" s="146"/>
      <c r="G165" s="146"/>
    </row>
    <row r="166" spans="2:7" x14ac:dyDescent="0.25">
      <c r="B166" s="146"/>
      <c r="C166" s="146"/>
      <c r="D166" s="146"/>
      <c r="E166" s="146"/>
      <c r="F166" s="146"/>
      <c r="G166" s="146"/>
    </row>
    <row r="167" spans="2:7" x14ac:dyDescent="0.25">
      <c r="B167" s="146"/>
      <c r="C167" s="146"/>
      <c r="D167" s="146"/>
      <c r="E167" s="146"/>
      <c r="F167" s="146"/>
      <c r="G167" s="146"/>
    </row>
    <row r="168" spans="2:7" x14ac:dyDescent="0.25">
      <c r="B168" s="146"/>
      <c r="C168" s="146"/>
      <c r="D168" s="146"/>
      <c r="E168" s="146"/>
      <c r="F168" s="146"/>
      <c r="G168" s="146"/>
    </row>
    <row r="169" spans="2:7" x14ac:dyDescent="0.25">
      <c r="B169" s="146"/>
      <c r="C169" s="146"/>
      <c r="D169" s="146"/>
      <c r="E169" s="146"/>
      <c r="F169" s="146"/>
      <c r="G169" s="146"/>
    </row>
    <row r="170" spans="2:7" x14ac:dyDescent="0.25">
      <c r="B170" s="146"/>
      <c r="C170" s="146"/>
      <c r="D170" s="146"/>
      <c r="E170" s="146"/>
      <c r="F170" s="146"/>
      <c r="G170" s="146"/>
    </row>
    <row r="171" spans="2:7" x14ac:dyDescent="0.25">
      <c r="B171" s="146"/>
      <c r="C171" s="146"/>
      <c r="D171" s="146"/>
      <c r="E171" s="146"/>
      <c r="F171" s="146"/>
      <c r="G171" s="146"/>
    </row>
    <row r="172" spans="2:7" x14ac:dyDescent="0.25">
      <c r="B172" s="146"/>
      <c r="C172" s="146"/>
      <c r="D172" s="146"/>
      <c r="E172" s="146"/>
      <c r="F172" s="146"/>
      <c r="G172" s="146"/>
    </row>
    <row r="173" spans="2:7" x14ac:dyDescent="0.25">
      <c r="B173" s="146"/>
      <c r="C173" s="146"/>
      <c r="D173" s="146"/>
      <c r="E173" s="146"/>
      <c r="F173" s="146"/>
      <c r="G173" s="146"/>
    </row>
    <row r="174" spans="2:7" x14ac:dyDescent="0.25">
      <c r="B174" s="146"/>
      <c r="C174" s="146"/>
      <c r="D174" s="146"/>
      <c r="E174" s="146"/>
      <c r="F174" s="146"/>
      <c r="G174" s="146"/>
    </row>
    <row r="175" spans="2:7" x14ac:dyDescent="0.25">
      <c r="B175" s="146"/>
      <c r="C175" s="146"/>
      <c r="D175" s="146"/>
      <c r="E175" s="146"/>
      <c r="F175" s="146"/>
      <c r="G175" s="146"/>
    </row>
    <row r="176" spans="2:7" x14ac:dyDescent="0.25">
      <c r="B176" s="146"/>
      <c r="C176" s="146"/>
      <c r="D176" s="146"/>
      <c r="E176" s="146"/>
      <c r="F176" s="146"/>
      <c r="G176" s="146"/>
    </row>
    <row r="177" spans="2:7" x14ac:dyDescent="0.25">
      <c r="B177" s="146"/>
      <c r="C177" s="146"/>
      <c r="D177" s="146"/>
      <c r="E177" s="146"/>
      <c r="F177" s="146"/>
      <c r="G177" s="146"/>
    </row>
    <row r="178" spans="2:7" x14ac:dyDescent="0.25">
      <c r="B178" s="146"/>
      <c r="C178" s="146"/>
      <c r="D178" s="146"/>
      <c r="E178" s="146"/>
      <c r="F178" s="146"/>
      <c r="G178" s="146"/>
    </row>
    <row r="179" spans="2:7" x14ac:dyDescent="0.25">
      <c r="B179" s="146"/>
      <c r="C179" s="146"/>
      <c r="D179" s="146"/>
      <c r="E179" s="146"/>
      <c r="F179" s="146"/>
      <c r="G179" s="146"/>
    </row>
    <row r="180" spans="2:7" x14ac:dyDescent="0.25">
      <c r="B180" s="146"/>
      <c r="C180" s="146"/>
      <c r="D180" s="146"/>
      <c r="E180" s="146"/>
      <c r="F180" s="146"/>
      <c r="G180" s="146"/>
    </row>
    <row r="181" spans="2:7" x14ac:dyDescent="0.25">
      <c r="B181" s="146"/>
      <c r="C181" s="146"/>
      <c r="D181" s="146"/>
      <c r="E181" s="146"/>
      <c r="F181" s="146"/>
      <c r="G181" s="146"/>
    </row>
    <row r="182" spans="2:7" x14ac:dyDescent="0.25">
      <c r="B182" s="146"/>
      <c r="C182" s="146"/>
      <c r="D182" s="146"/>
      <c r="E182" s="146"/>
      <c r="F182" s="146"/>
      <c r="G182" s="146"/>
    </row>
    <row r="183" spans="2:7" x14ac:dyDescent="0.25">
      <c r="B183" s="146"/>
      <c r="C183" s="146"/>
      <c r="D183" s="146"/>
      <c r="E183" s="146"/>
      <c r="F183" s="146"/>
      <c r="G183" s="146"/>
    </row>
    <row r="184" spans="2:7" x14ac:dyDescent="0.25">
      <c r="B184" s="146"/>
      <c r="C184" s="146"/>
      <c r="D184" s="146"/>
      <c r="E184" s="146"/>
      <c r="F184" s="146"/>
      <c r="G184" s="146"/>
    </row>
    <row r="185" spans="2:7" x14ac:dyDescent="0.25">
      <c r="B185" s="146"/>
      <c r="C185" s="146"/>
      <c r="D185" s="146"/>
      <c r="E185" s="146"/>
      <c r="F185" s="146"/>
      <c r="G185" s="146"/>
    </row>
    <row r="186" spans="2:7" x14ac:dyDescent="0.25">
      <c r="B186" s="146"/>
      <c r="C186" s="146"/>
      <c r="D186" s="146"/>
      <c r="E186" s="146"/>
      <c r="F186" s="146"/>
      <c r="G186" s="146"/>
    </row>
    <row r="187" spans="2:7" x14ac:dyDescent="0.25">
      <c r="B187" s="146"/>
      <c r="C187" s="146"/>
      <c r="D187" s="146"/>
      <c r="E187" s="146"/>
      <c r="F187" s="146"/>
      <c r="G187" s="146"/>
    </row>
    <row r="188" spans="2:7" x14ac:dyDescent="0.25">
      <c r="B188" s="146"/>
      <c r="C188" s="146"/>
      <c r="D188" s="146"/>
      <c r="E188" s="146"/>
      <c r="F188" s="146"/>
      <c r="G188" s="146"/>
    </row>
    <row r="189" spans="2:7" x14ac:dyDescent="0.25">
      <c r="B189" s="146"/>
      <c r="C189" s="146"/>
      <c r="D189" s="146"/>
      <c r="E189" s="146"/>
      <c r="F189" s="146"/>
      <c r="G189" s="146"/>
    </row>
    <row r="190" spans="2:7" x14ac:dyDescent="0.25">
      <c r="B190" s="146"/>
      <c r="C190" s="146"/>
      <c r="D190" s="146"/>
      <c r="E190" s="146"/>
      <c r="F190" s="146"/>
      <c r="G190" s="146"/>
    </row>
    <row r="191" spans="2:7" x14ac:dyDescent="0.25">
      <c r="B191" s="146"/>
      <c r="C191" s="146"/>
      <c r="D191" s="146"/>
      <c r="E191" s="146"/>
      <c r="F191" s="146"/>
      <c r="G191" s="146"/>
    </row>
    <row r="192" spans="2:7" x14ac:dyDescent="0.25">
      <c r="B192" s="146"/>
      <c r="C192" s="146"/>
      <c r="D192" s="146"/>
      <c r="E192" s="146"/>
      <c r="F192" s="146"/>
      <c r="G192" s="146"/>
    </row>
    <row r="193" spans="2:7" x14ac:dyDescent="0.25">
      <c r="B193" s="146"/>
      <c r="C193" s="146"/>
      <c r="D193" s="146"/>
      <c r="E193" s="146"/>
      <c r="F193" s="146"/>
      <c r="G193" s="146"/>
    </row>
    <row r="194" spans="2:7" x14ac:dyDescent="0.25">
      <c r="B194" s="146"/>
      <c r="C194" s="146"/>
      <c r="D194" s="146"/>
      <c r="E194" s="146"/>
      <c r="F194" s="146"/>
      <c r="G194" s="146"/>
    </row>
    <row r="195" spans="2:7" x14ac:dyDescent="0.25">
      <c r="B195" s="146"/>
      <c r="C195" s="146"/>
      <c r="D195" s="146"/>
      <c r="E195" s="146"/>
      <c r="F195" s="146"/>
      <c r="G195" s="146"/>
    </row>
    <row r="196" spans="2:7" x14ac:dyDescent="0.25">
      <c r="B196" s="146"/>
      <c r="C196" s="146"/>
      <c r="D196" s="146"/>
      <c r="E196" s="146"/>
      <c r="F196" s="146"/>
      <c r="G196" s="146"/>
    </row>
    <row r="197" spans="2:7" x14ac:dyDescent="0.25">
      <c r="B197" s="146"/>
      <c r="C197" s="146"/>
      <c r="D197" s="146"/>
      <c r="E197" s="146"/>
      <c r="F197" s="146"/>
      <c r="G197" s="146"/>
    </row>
    <row r="198" spans="2:7" x14ac:dyDescent="0.25">
      <c r="B198" s="146"/>
      <c r="C198" s="146"/>
      <c r="D198" s="146"/>
      <c r="E198" s="146"/>
      <c r="F198" s="146"/>
      <c r="G198" s="146"/>
    </row>
    <row r="199" spans="2:7" x14ac:dyDescent="0.25">
      <c r="B199" s="146"/>
      <c r="C199" s="146"/>
      <c r="D199" s="146"/>
      <c r="E199" s="146"/>
      <c r="F199" s="146"/>
      <c r="G199" s="146"/>
    </row>
    <row r="200" spans="2:7" x14ac:dyDescent="0.25">
      <c r="B200" s="146"/>
      <c r="C200" s="146"/>
      <c r="D200" s="146"/>
      <c r="E200" s="146"/>
      <c r="F200" s="146"/>
      <c r="G200" s="146"/>
    </row>
    <row r="201" spans="2:7" x14ac:dyDescent="0.25">
      <c r="B201" s="146"/>
      <c r="C201" s="146"/>
      <c r="D201" s="146"/>
      <c r="E201" s="146"/>
      <c r="F201" s="146"/>
      <c r="G201" s="146"/>
    </row>
    <row r="202" spans="2:7" x14ac:dyDescent="0.25">
      <c r="B202" s="146"/>
      <c r="C202" s="146"/>
      <c r="D202" s="146"/>
      <c r="E202" s="146"/>
      <c r="F202" s="146"/>
      <c r="G202" s="146"/>
    </row>
    <row r="203" spans="2:7" x14ac:dyDescent="0.25">
      <c r="B203" s="146"/>
      <c r="C203" s="146"/>
      <c r="D203" s="146"/>
      <c r="E203" s="146"/>
      <c r="F203" s="146"/>
      <c r="G203" s="146"/>
    </row>
    <row r="204" spans="2:7" x14ac:dyDescent="0.25">
      <c r="B204" s="146"/>
      <c r="C204" s="146"/>
      <c r="D204" s="146"/>
      <c r="E204" s="146"/>
      <c r="F204" s="146"/>
      <c r="G204" s="146"/>
    </row>
    <row r="205" spans="2:7" x14ac:dyDescent="0.25">
      <c r="B205" s="146"/>
      <c r="C205" s="146"/>
      <c r="D205" s="146"/>
      <c r="E205" s="146"/>
      <c r="F205" s="146"/>
      <c r="G205" s="146"/>
    </row>
    <row r="206" spans="2:7" x14ac:dyDescent="0.25">
      <c r="B206" s="146"/>
      <c r="C206" s="146"/>
      <c r="D206" s="146"/>
      <c r="E206" s="146"/>
      <c r="F206" s="146"/>
      <c r="G206" s="146"/>
    </row>
    <row r="207" spans="2:7" x14ac:dyDescent="0.25">
      <c r="B207" s="146"/>
      <c r="C207" s="146"/>
      <c r="D207" s="146"/>
      <c r="E207" s="146"/>
      <c r="F207" s="146"/>
      <c r="G207" s="146"/>
    </row>
    <row r="208" spans="2:7" x14ac:dyDescent="0.25">
      <c r="B208" s="146"/>
      <c r="C208" s="146"/>
      <c r="D208" s="146"/>
      <c r="E208" s="146"/>
      <c r="F208" s="146"/>
      <c r="G208" s="146"/>
    </row>
    <row r="209" spans="2:7" x14ac:dyDescent="0.25">
      <c r="B209" s="146"/>
      <c r="C209" s="146"/>
      <c r="D209" s="146"/>
      <c r="E209" s="146"/>
      <c r="F209" s="146"/>
      <c r="G209" s="146"/>
    </row>
    <row r="210" spans="2:7" x14ac:dyDescent="0.25">
      <c r="B210" s="146"/>
      <c r="C210" s="146"/>
      <c r="D210" s="146"/>
      <c r="E210" s="146"/>
      <c r="F210" s="146"/>
      <c r="G210" s="146"/>
    </row>
    <row r="211" spans="2:7" x14ac:dyDescent="0.25">
      <c r="B211" s="146"/>
      <c r="C211" s="146"/>
      <c r="D211" s="146"/>
      <c r="E211" s="146"/>
      <c r="F211" s="146"/>
      <c r="G211" s="146"/>
    </row>
    <row r="212" spans="2:7" x14ac:dyDescent="0.25">
      <c r="B212" s="146"/>
      <c r="C212" s="146"/>
      <c r="D212" s="146"/>
      <c r="E212" s="146"/>
      <c r="F212" s="146"/>
      <c r="G212" s="146"/>
    </row>
    <row r="213" spans="2:7" x14ac:dyDescent="0.25">
      <c r="B213" s="146"/>
      <c r="C213" s="146"/>
      <c r="D213" s="146"/>
      <c r="E213" s="146"/>
      <c r="F213" s="146"/>
      <c r="G213" s="146"/>
    </row>
    <row r="214" spans="2:7" x14ac:dyDescent="0.25">
      <c r="B214" s="146"/>
      <c r="C214" s="146"/>
      <c r="D214" s="146"/>
      <c r="E214" s="146"/>
      <c r="F214" s="146"/>
      <c r="G214" s="146"/>
    </row>
    <row r="215" spans="2:7" x14ac:dyDescent="0.25">
      <c r="B215" s="146"/>
      <c r="C215" s="146"/>
      <c r="D215" s="146"/>
      <c r="E215" s="146"/>
      <c r="F215" s="146"/>
      <c r="G215" s="146"/>
    </row>
    <row r="216" spans="2:7" x14ac:dyDescent="0.25">
      <c r="B216" s="146"/>
      <c r="C216" s="146"/>
      <c r="D216" s="146"/>
      <c r="E216" s="146"/>
      <c r="F216" s="146"/>
      <c r="G216" s="146"/>
    </row>
    <row r="217" spans="2:7" x14ac:dyDescent="0.25">
      <c r="B217" s="146"/>
      <c r="C217" s="146"/>
      <c r="D217" s="146"/>
      <c r="E217" s="146"/>
      <c r="F217" s="146"/>
      <c r="G217" s="146"/>
    </row>
    <row r="218" spans="2:7" x14ac:dyDescent="0.25">
      <c r="B218" s="146"/>
      <c r="C218" s="146"/>
      <c r="D218" s="146"/>
      <c r="E218" s="146"/>
      <c r="F218" s="146"/>
      <c r="G218" s="146"/>
    </row>
    <row r="219" spans="2:7" x14ac:dyDescent="0.25">
      <c r="B219" s="146"/>
      <c r="C219" s="146"/>
      <c r="D219" s="146"/>
      <c r="E219" s="146"/>
      <c r="F219" s="146"/>
      <c r="G219" s="146"/>
    </row>
    <row r="220" spans="2:7" x14ac:dyDescent="0.25">
      <c r="B220" s="146"/>
      <c r="C220" s="146"/>
      <c r="D220" s="146"/>
      <c r="E220" s="146"/>
      <c r="F220" s="146"/>
      <c r="G220" s="146"/>
    </row>
    <row r="221" spans="2:7" x14ac:dyDescent="0.25">
      <c r="B221" s="146"/>
      <c r="C221" s="146"/>
      <c r="D221" s="146"/>
      <c r="E221" s="146"/>
      <c r="F221" s="146"/>
      <c r="G221" s="146"/>
    </row>
    <row r="222" spans="2:7" x14ac:dyDescent="0.25">
      <c r="B222" s="146"/>
      <c r="C222" s="146"/>
      <c r="D222" s="146"/>
      <c r="E222" s="146"/>
      <c r="F222" s="146"/>
      <c r="G222" s="146"/>
    </row>
    <row r="223" spans="2:7" x14ac:dyDescent="0.25">
      <c r="B223" s="146"/>
      <c r="C223" s="146"/>
      <c r="D223" s="146"/>
      <c r="E223" s="146"/>
      <c r="F223" s="146"/>
      <c r="G223" s="146"/>
    </row>
    <row r="224" spans="2:7" x14ac:dyDescent="0.25">
      <c r="B224" s="146"/>
      <c r="C224" s="146"/>
      <c r="D224" s="146"/>
      <c r="E224" s="146"/>
      <c r="F224" s="146"/>
      <c r="G224" s="146"/>
    </row>
    <row r="225" spans="2:7" x14ac:dyDescent="0.25">
      <c r="B225" s="146"/>
      <c r="C225" s="146"/>
      <c r="D225" s="146"/>
      <c r="E225" s="146"/>
      <c r="F225" s="146"/>
      <c r="G225" s="146"/>
    </row>
    <row r="226" spans="2:7" x14ac:dyDescent="0.25">
      <c r="B226" s="146"/>
      <c r="C226" s="146"/>
      <c r="D226" s="146"/>
      <c r="E226" s="146"/>
      <c r="F226" s="146"/>
      <c r="G226" s="146"/>
    </row>
    <row r="227" spans="2:7" x14ac:dyDescent="0.25">
      <c r="B227" s="146"/>
      <c r="C227" s="146"/>
      <c r="D227" s="146"/>
      <c r="E227" s="146"/>
      <c r="F227" s="146"/>
      <c r="G227" s="146"/>
    </row>
    <row r="228" spans="2:7" x14ac:dyDescent="0.25">
      <c r="B228" s="146"/>
      <c r="C228" s="146"/>
      <c r="D228" s="146"/>
      <c r="E228" s="146"/>
      <c r="F228" s="146"/>
      <c r="G228" s="146"/>
    </row>
    <row r="229" spans="2:7" x14ac:dyDescent="0.25">
      <c r="B229" s="146"/>
      <c r="C229" s="146"/>
      <c r="D229" s="146"/>
      <c r="E229" s="146"/>
      <c r="F229" s="146"/>
      <c r="G229" s="146"/>
    </row>
    <row r="230" spans="2:7" x14ac:dyDescent="0.25">
      <c r="B230" s="146"/>
      <c r="C230" s="146"/>
      <c r="D230" s="146"/>
      <c r="E230" s="146"/>
      <c r="F230" s="146"/>
      <c r="G230" s="146"/>
    </row>
    <row r="231" spans="2:7" x14ac:dyDescent="0.25">
      <c r="B231" s="146"/>
      <c r="C231" s="146"/>
      <c r="D231" s="146"/>
      <c r="E231" s="146"/>
      <c r="F231" s="146"/>
      <c r="G231" s="146"/>
    </row>
    <row r="232" spans="2:7" x14ac:dyDescent="0.25">
      <c r="B232" s="146"/>
      <c r="C232" s="146"/>
      <c r="D232" s="146"/>
      <c r="E232" s="146"/>
      <c r="F232" s="146"/>
      <c r="G232" s="146"/>
    </row>
    <row r="233" spans="2:7" x14ac:dyDescent="0.25">
      <c r="B233" s="146"/>
      <c r="C233" s="146"/>
      <c r="D233" s="146"/>
      <c r="E233" s="146"/>
      <c r="F233" s="146"/>
      <c r="G233" s="146"/>
    </row>
    <row r="234" spans="2:7" x14ac:dyDescent="0.25">
      <c r="B234" s="146"/>
      <c r="C234" s="146"/>
      <c r="D234" s="146"/>
      <c r="E234" s="146"/>
      <c r="F234" s="146"/>
      <c r="G234" s="146"/>
    </row>
    <row r="235" spans="2:7" x14ac:dyDescent="0.25">
      <c r="B235" s="146"/>
      <c r="C235" s="146"/>
      <c r="D235" s="146"/>
      <c r="E235" s="146"/>
      <c r="F235" s="146"/>
      <c r="G235" s="146"/>
    </row>
    <row r="236" spans="2:7" x14ac:dyDescent="0.25">
      <c r="B236" s="146"/>
      <c r="C236" s="146"/>
      <c r="D236" s="146"/>
      <c r="E236" s="146"/>
      <c r="F236" s="146"/>
      <c r="G236" s="146"/>
    </row>
    <row r="237" spans="2:7" x14ac:dyDescent="0.25">
      <c r="B237" s="146"/>
      <c r="C237" s="146"/>
      <c r="D237" s="146"/>
      <c r="E237" s="146"/>
      <c r="F237" s="146"/>
      <c r="G237" s="146"/>
    </row>
    <row r="238" spans="2:7" x14ac:dyDescent="0.25">
      <c r="B238" s="146"/>
      <c r="C238" s="146"/>
      <c r="D238" s="146"/>
      <c r="E238" s="146"/>
      <c r="F238" s="146"/>
      <c r="G238" s="146"/>
    </row>
    <row r="239" spans="2:7" x14ac:dyDescent="0.25">
      <c r="B239" s="146"/>
      <c r="C239" s="146"/>
      <c r="D239" s="146"/>
      <c r="E239" s="146"/>
      <c r="F239" s="146"/>
      <c r="G239" s="146"/>
    </row>
    <row r="240" spans="2:7" x14ac:dyDescent="0.25">
      <c r="B240" s="146"/>
      <c r="C240" s="146"/>
      <c r="D240" s="146"/>
      <c r="E240" s="146"/>
      <c r="F240" s="146"/>
      <c r="G240" s="146"/>
    </row>
    <row r="241" spans="2:7" x14ac:dyDescent="0.25">
      <c r="B241" s="146"/>
      <c r="C241" s="146"/>
      <c r="D241" s="146"/>
      <c r="E241" s="146"/>
      <c r="F241" s="146"/>
      <c r="G241" s="146"/>
    </row>
    <row r="242" spans="2:7" x14ac:dyDescent="0.25">
      <c r="B242" s="146"/>
      <c r="C242" s="146"/>
      <c r="D242" s="146"/>
      <c r="E242" s="146"/>
      <c r="F242" s="146"/>
      <c r="G242" s="146"/>
    </row>
    <row r="243" spans="2:7" x14ac:dyDescent="0.25">
      <c r="B243" s="146"/>
      <c r="C243" s="146"/>
      <c r="D243" s="146"/>
      <c r="E243" s="146"/>
      <c r="F243" s="146"/>
      <c r="G243" s="146"/>
    </row>
    <row r="244" spans="2:7" x14ac:dyDescent="0.25">
      <c r="B244" s="146"/>
      <c r="C244" s="146"/>
      <c r="D244" s="146"/>
      <c r="E244" s="146"/>
      <c r="F244" s="146"/>
      <c r="G244" s="146"/>
    </row>
    <row r="245" spans="2:7" x14ac:dyDescent="0.25">
      <c r="B245" s="146"/>
      <c r="C245" s="146"/>
      <c r="D245" s="146"/>
      <c r="E245" s="146"/>
      <c r="F245" s="146"/>
      <c r="G245" s="146"/>
    </row>
    <row r="246" spans="2:7" x14ac:dyDescent="0.25">
      <c r="B246" s="146"/>
      <c r="C246" s="146"/>
      <c r="D246" s="146"/>
      <c r="E246" s="146"/>
      <c r="F246" s="146"/>
      <c r="G246" s="146"/>
    </row>
    <row r="247" spans="2:7" x14ac:dyDescent="0.25">
      <c r="B247" s="146"/>
      <c r="C247" s="146"/>
      <c r="D247" s="146"/>
      <c r="E247" s="146"/>
      <c r="F247" s="146"/>
      <c r="G247" s="146"/>
    </row>
    <row r="248" spans="2:7" x14ac:dyDescent="0.25">
      <c r="B248" s="146"/>
      <c r="C248" s="146"/>
      <c r="D248" s="146"/>
      <c r="E248" s="146"/>
      <c r="F248" s="146"/>
      <c r="G248" s="146"/>
    </row>
    <row r="249" spans="2:7" x14ac:dyDescent="0.25">
      <c r="B249" s="146"/>
      <c r="C249" s="146"/>
      <c r="D249" s="146"/>
      <c r="E249" s="146"/>
      <c r="F249" s="146"/>
      <c r="G249" s="146"/>
    </row>
    <row r="250" spans="2:7" x14ac:dyDescent="0.25">
      <c r="B250" s="146"/>
      <c r="C250" s="146"/>
      <c r="D250" s="146"/>
      <c r="E250" s="146"/>
      <c r="F250" s="146"/>
      <c r="G250" s="146"/>
    </row>
    <row r="251" spans="2:7" x14ac:dyDescent="0.25">
      <c r="B251" s="146"/>
      <c r="C251" s="146"/>
      <c r="D251" s="146"/>
      <c r="E251" s="146"/>
      <c r="F251" s="146"/>
      <c r="G251" s="146"/>
    </row>
    <row r="252" spans="2:7" x14ac:dyDescent="0.25">
      <c r="B252" s="146"/>
      <c r="C252" s="146"/>
      <c r="D252" s="146"/>
      <c r="E252" s="146"/>
      <c r="F252" s="146"/>
      <c r="G252" s="146"/>
    </row>
    <row r="253" spans="2:7" x14ac:dyDescent="0.25">
      <c r="B253" s="146"/>
      <c r="C253" s="146"/>
      <c r="D253" s="146"/>
      <c r="E253" s="146"/>
      <c r="F253" s="146"/>
      <c r="G253" s="146"/>
    </row>
    <row r="254" spans="2:7" x14ac:dyDescent="0.25">
      <c r="B254" s="146"/>
      <c r="C254" s="146"/>
      <c r="D254" s="146"/>
      <c r="E254" s="146"/>
      <c r="F254" s="146"/>
      <c r="G254" s="146"/>
    </row>
    <row r="255" spans="2:7" x14ac:dyDescent="0.25">
      <c r="B255" s="146"/>
      <c r="C255" s="146"/>
      <c r="D255" s="146"/>
      <c r="E255" s="146"/>
      <c r="F255" s="146"/>
      <c r="G255" s="146"/>
    </row>
    <row r="256" spans="2:7" x14ac:dyDescent="0.25">
      <c r="B256" s="146"/>
      <c r="C256" s="146"/>
      <c r="D256" s="146"/>
      <c r="E256" s="146"/>
      <c r="F256" s="146"/>
      <c r="G256" s="146"/>
    </row>
    <row r="257" spans="2:7" x14ac:dyDescent="0.25">
      <c r="B257" s="146"/>
      <c r="C257" s="146"/>
      <c r="D257" s="146"/>
      <c r="E257" s="146"/>
      <c r="F257" s="146"/>
      <c r="G257" s="146"/>
    </row>
    <row r="258" spans="2:7" x14ac:dyDescent="0.25">
      <c r="B258" s="146"/>
      <c r="C258" s="146"/>
      <c r="D258" s="146"/>
      <c r="E258" s="146"/>
      <c r="F258" s="146"/>
      <c r="G258" s="146"/>
    </row>
    <row r="259" spans="2:7" x14ac:dyDescent="0.25">
      <c r="B259" s="146"/>
      <c r="C259" s="146"/>
      <c r="D259" s="146"/>
      <c r="E259" s="146"/>
      <c r="F259" s="146"/>
      <c r="G259" s="146"/>
    </row>
    <row r="260" spans="2:7" x14ac:dyDescent="0.25">
      <c r="B260" s="146"/>
      <c r="C260" s="146"/>
      <c r="D260" s="146"/>
      <c r="E260" s="146"/>
      <c r="F260" s="146"/>
      <c r="G260" s="146"/>
    </row>
    <row r="261" spans="2:7" x14ac:dyDescent="0.25">
      <c r="B261" s="146"/>
      <c r="C261" s="146"/>
      <c r="D261" s="146"/>
      <c r="E261" s="146"/>
      <c r="F261" s="146"/>
      <c r="G261" s="146"/>
    </row>
    <row r="262" spans="2:7" x14ac:dyDescent="0.25">
      <c r="B262" s="146"/>
      <c r="C262" s="146"/>
      <c r="D262" s="146"/>
      <c r="E262" s="146"/>
      <c r="F262" s="146"/>
      <c r="G262" s="146"/>
    </row>
    <row r="263" spans="2:7" x14ac:dyDescent="0.25">
      <c r="B263" s="146"/>
      <c r="C263" s="146"/>
      <c r="D263" s="146"/>
      <c r="E263" s="146"/>
      <c r="F263" s="146"/>
      <c r="G263" s="146"/>
    </row>
    <row r="264" spans="2:7" x14ac:dyDescent="0.25">
      <c r="B264" s="146"/>
      <c r="C264" s="146"/>
      <c r="D264" s="146"/>
      <c r="E264" s="146"/>
      <c r="F264" s="146"/>
      <c r="G264" s="146"/>
    </row>
    <row r="265" spans="2:7" x14ac:dyDescent="0.25">
      <c r="B265" s="146"/>
      <c r="C265" s="146"/>
      <c r="D265" s="146"/>
      <c r="E265" s="146"/>
      <c r="F265" s="146"/>
      <c r="G265" s="146"/>
    </row>
    <row r="266" spans="2:7" x14ac:dyDescent="0.25">
      <c r="B266" s="146"/>
      <c r="C266" s="146"/>
      <c r="D266" s="146"/>
      <c r="E266" s="146"/>
      <c r="F266" s="146"/>
      <c r="G266" s="146"/>
    </row>
    <row r="267" spans="2:7" x14ac:dyDescent="0.25">
      <c r="B267" s="146"/>
      <c r="C267" s="146"/>
      <c r="D267" s="146"/>
      <c r="E267" s="146"/>
      <c r="F267" s="146"/>
      <c r="G267" s="146"/>
    </row>
    <row r="268" spans="2:7" x14ac:dyDescent="0.25">
      <c r="B268" s="146"/>
      <c r="C268" s="146"/>
      <c r="D268" s="146"/>
      <c r="E268" s="146"/>
      <c r="F268" s="146"/>
      <c r="G268" s="146"/>
    </row>
    <row r="269" spans="2:7" x14ac:dyDescent="0.25">
      <c r="B269" s="146"/>
      <c r="C269" s="146"/>
      <c r="D269" s="146"/>
      <c r="E269" s="146"/>
      <c r="F269" s="146"/>
      <c r="G269" s="146"/>
    </row>
    <row r="270" spans="2:7" x14ac:dyDescent="0.25">
      <c r="B270" s="146"/>
      <c r="C270" s="146"/>
      <c r="D270" s="146"/>
      <c r="E270" s="146"/>
      <c r="F270" s="146"/>
      <c r="G270" s="146"/>
    </row>
    <row r="271" spans="2:7" x14ac:dyDescent="0.25">
      <c r="B271" s="146"/>
      <c r="C271" s="146"/>
      <c r="D271" s="146"/>
      <c r="E271" s="146"/>
      <c r="F271" s="146"/>
      <c r="G271" s="146"/>
    </row>
    <row r="272" spans="2:7" x14ac:dyDescent="0.25">
      <c r="B272" s="146"/>
      <c r="C272" s="146"/>
      <c r="D272" s="146"/>
      <c r="E272" s="146"/>
      <c r="F272" s="146"/>
      <c r="G272" s="146"/>
    </row>
    <row r="273" spans="2:7" x14ac:dyDescent="0.25">
      <c r="B273" s="146"/>
      <c r="C273" s="146"/>
      <c r="D273" s="146"/>
      <c r="E273" s="146"/>
      <c r="F273" s="146"/>
      <c r="G273" s="146"/>
    </row>
    <row r="274" spans="2:7" x14ac:dyDescent="0.25">
      <c r="B274" s="146"/>
      <c r="C274" s="146"/>
      <c r="D274" s="146"/>
      <c r="E274" s="146"/>
      <c r="F274" s="146"/>
      <c r="G274" s="146"/>
    </row>
    <row r="275" spans="2:7" x14ac:dyDescent="0.25">
      <c r="B275" s="146"/>
      <c r="C275" s="146"/>
      <c r="D275" s="146"/>
      <c r="E275" s="146"/>
      <c r="F275" s="146"/>
      <c r="G275" s="146"/>
    </row>
    <row r="276" spans="2:7" x14ac:dyDescent="0.25">
      <c r="B276" s="146"/>
      <c r="C276" s="146"/>
      <c r="D276" s="146"/>
      <c r="E276" s="146"/>
      <c r="F276" s="146"/>
      <c r="G276" s="146"/>
    </row>
    <row r="277" spans="2:7" x14ac:dyDescent="0.25">
      <c r="B277" s="146"/>
      <c r="C277" s="146"/>
      <c r="D277" s="146"/>
      <c r="E277" s="146"/>
      <c r="F277" s="146"/>
      <c r="G277" s="146"/>
    </row>
    <row r="278" spans="2:7" x14ac:dyDescent="0.25">
      <c r="B278" s="146"/>
      <c r="C278" s="146"/>
      <c r="D278" s="146"/>
      <c r="E278" s="146"/>
      <c r="F278" s="146"/>
      <c r="G278" s="146"/>
    </row>
    <row r="279" spans="2:7" x14ac:dyDescent="0.25">
      <c r="B279" s="146"/>
      <c r="C279" s="146"/>
      <c r="D279" s="146"/>
      <c r="E279" s="146"/>
      <c r="F279" s="146"/>
      <c r="G279" s="146"/>
    </row>
    <row r="280" spans="2:7" x14ac:dyDescent="0.25">
      <c r="B280" s="146"/>
      <c r="C280" s="146"/>
      <c r="D280" s="146"/>
      <c r="E280" s="146"/>
      <c r="F280" s="146"/>
      <c r="G280" s="146"/>
    </row>
    <row r="281" spans="2:7" x14ac:dyDescent="0.25">
      <c r="B281" s="146"/>
      <c r="C281" s="146"/>
      <c r="D281" s="146"/>
      <c r="E281" s="146"/>
      <c r="F281" s="146"/>
      <c r="G281" s="146"/>
    </row>
    <row r="282" spans="2:7" x14ac:dyDescent="0.25">
      <c r="B282" s="146"/>
      <c r="C282" s="146"/>
      <c r="D282" s="146"/>
      <c r="E282" s="146"/>
      <c r="F282" s="146"/>
      <c r="G282" s="146"/>
    </row>
    <row r="283" spans="2:7" x14ac:dyDescent="0.25">
      <c r="B283" s="146"/>
      <c r="C283" s="146"/>
      <c r="D283" s="146"/>
      <c r="E283" s="146"/>
      <c r="F283" s="146"/>
      <c r="G283" s="146"/>
    </row>
    <row r="284" spans="2:7" x14ac:dyDescent="0.25">
      <c r="B284" s="146"/>
      <c r="C284" s="146"/>
      <c r="D284" s="146"/>
      <c r="E284" s="146"/>
      <c r="F284" s="146"/>
      <c r="G284" s="146"/>
    </row>
    <row r="285" spans="2:7" x14ac:dyDescent="0.25">
      <c r="B285" s="146"/>
      <c r="C285" s="146"/>
      <c r="D285" s="146"/>
      <c r="E285" s="146"/>
      <c r="F285" s="146"/>
      <c r="G285" s="146"/>
    </row>
    <row r="286" spans="2:7" x14ac:dyDescent="0.25">
      <c r="B286" s="146"/>
      <c r="C286" s="146"/>
      <c r="D286" s="146"/>
      <c r="E286" s="146"/>
      <c r="F286" s="146"/>
      <c r="G286" s="146"/>
    </row>
    <row r="287" spans="2:7" x14ac:dyDescent="0.25">
      <c r="B287" s="146"/>
      <c r="C287" s="146"/>
      <c r="D287" s="146"/>
      <c r="E287" s="146"/>
      <c r="F287" s="146"/>
      <c r="G287" s="146"/>
    </row>
    <row r="288" spans="2:7" x14ac:dyDescent="0.25">
      <c r="B288" s="146"/>
      <c r="C288" s="146"/>
      <c r="D288" s="146"/>
      <c r="E288" s="146"/>
      <c r="F288" s="146"/>
      <c r="G288" s="146"/>
    </row>
    <row r="289" spans="2:7" x14ac:dyDescent="0.25">
      <c r="B289" s="146"/>
      <c r="C289" s="146"/>
      <c r="D289" s="146"/>
      <c r="E289" s="146"/>
      <c r="F289" s="146"/>
      <c r="G289" s="146"/>
    </row>
    <row r="290" spans="2:7" x14ac:dyDescent="0.25">
      <c r="B290" s="146"/>
      <c r="C290" s="146"/>
      <c r="D290" s="146"/>
      <c r="E290" s="146"/>
      <c r="F290" s="146"/>
      <c r="G290" s="146"/>
    </row>
    <row r="291" spans="2:7" x14ac:dyDescent="0.25">
      <c r="B291" s="146"/>
      <c r="C291" s="146"/>
      <c r="D291" s="146"/>
      <c r="E291" s="146"/>
      <c r="F291" s="146"/>
      <c r="G291" s="146"/>
    </row>
    <row r="292" spans="2:7" x14ac:dyDescent="0.25">
      <c r="B292" s="146"/>
      <c r="C292" s="146"/>
      <c r="D292" s="146"/>
      <c r="E292" s="146"/>
      <c r="F292" s="146"/>
      <c r="G292" s="146"/>
    </row>
    <row r="293" spans="2:7" x14ac:dyDescent="0.25">
      <c r="B293" s="146"/>
      <c r="C293" s="146"/>
      <c r="D293" s="146"/>
      <c r="E293" s="146"/>
      <c r="F293" s="146"/>
      <c r="G293" s="146"/>
    </row>
    <row r="294" spans="2:7" x14ac:dyDescent="0.25">
      <c r="B294" s="146"/>
      <c r="C294" s="146"/>
      <c r="D294" s="146"/>
      <c r="E294" s="146"/>
      <c r="F294" s="146"/>
      <c r="G294" s="146"/>
    </row>
    <row r="295" spans="2:7" x14ac:dyDescent="0.25">
      <c r="B295" s="146"/>
      <c r="C295" s="146"/>
      <c r="D295" s="146"/>
      <c r="E295" s="146"/>
      <c r="F295" s="146"/>
      <c r="G295" s="146"/>
    </row>
    <row r="296" spans="2:7" x14ac:dyDescent="0.25">
      <c r="B296" s="146"/>
      <c r="C296" s="146"/>
      <c r="D296" s="146"/>
      <c r="E296" s="146"/>
      <c r="F296" s="146"/>
      <c r="G296" s="146"/>
    </row>
    <row r="297" spans="2:7" x14ac:dyDescent="0.25">
      <c r="B297" s="146"/>
      <c r="C297" s="146"/>
      <c r="D297" s="146"/>
      <c r="E297" s="146"/>
      <c r="F297" s="146"/>
      <c r="G297" s="146"/>
    </row>
    <row r="298" spans="2:7" x14ac:dyDescent="0.25">
      <c r="B298" s="146"/>
      <c r="C298" s="146"/>
      <c r="D298" s="146"/>
      <c r="E298" s="146"/>
      <c r="F298" s="146"/>
      <c r="G298" s="146"/>
    </row>
    <row r="299" spans="2:7" x14ac:dyDescent="0.25">
      <c r="B299" s="146"/>
      <c r="C299" s="146"/>
      <c r="D299" s="146"/>
      <c r="E299" s="146"/>
      <c r="F299" s="146"/>
      <c r="G299" s="146"/>
    </row>
    <row r="300" spans="2:7" x14ac:dyDescent="0.25">
      <c r="B300" s="146"/>
      <c r="C300" s="146"/>
      <c r="D300" s="146"/>
      <c r="E300" s="146"/>
      <c r="F300" s="146"/>
      <c r="G300" s="146"/>
    </row>
    <row r="301" spans="2:7" x14ac:dyDescent="0.25">
      <c r="B301" s="146"/>
      <c r="C301" s="146"/>
      <c r="D301" s="146"/>
      <c r="E301" s="146"/>
      <c r="F301" s="146"/>
      <c r="G301" s="146"/>
    </row>
    <row r="302" spans="2:7" x14ac:dyDescent="0.25">
      <c r="B302" s="146"/>
      <c r="C302" s="146"/>
      <c r="D302" s="146"/>
      <c r="E302" s="146"/>
      <c r="F302" s="146"/>
      <c r="G302" s="146"/>
    </row>
    <row r="303" spans="2:7" x14ac:dyDescent="0.25">
      <c r="B303" s="146"/>
      <c r="C303" s="146"/>
      <c r="D303" s="146"/>
      <c r="E303" s="146"/>
      <c r="F303" s="146"/>
      <c r="G303" s="146"/>
    </row>
    <row r="304" spans="2:7" x14ac:dyDescent="0.25">
      <c r="B304" s="146"/>
      <c r="C304" s="146"/>
      <c r="D304" s="146"/>
      <c r="E304" s="146"/>
      <c r="F304" s="146"/>
      <c r="G304" s="146"/>
    </row>
    <row r="305" spans="2:7" x14ac:dyDescent="0.25">
      <c r="B305" s="146"/>
      <c r="C305" s="146"/>
      <c r="D305" s="146"/>
      <c r="E305" s="146"/>
      <c r="F305" s="146"/>
      <c r="G305" s="146"/>
    </row>
    <row r="306" spans="2:7" x14ac:dyDescent="0.25">
      <c r="B306" s="146"/>
      <c r="C306" s="146"/>
      <c r="D306" s="146"/>
      <c r="E306" s="146"/>
      <c r="F306" s="146"/>
      <c r="G306" s="146"/>
    </row>
    <row r="307" spans="2:7" x14ac:dyDescent="0.25">
      <c r="B307" s="146"/>
      <c r="C307" s="146"/>
      <c r="D307" s="146"/>
      <c r="E307" s="146"/>
      <c r="F307" s="146"/>
      <c r="G307" s="146"/>
    </row>
    <row r="308" spans="2:7" x14ac:dyDescent="0.25">
      <c r="B308" s="146"/>
      <c r="C308" s="146"/>
      <c r="D308" s="146"/>
      <c r="E308" s="146"/>
      <c r="F308" s="146"/>
      <c r="G308" s="146"/>
    </row>
    <row r="309" spans="2:7" x14ac:dyDescent="0.25">
      <c r="B309" s="146"/>
      <c r="C309" s="146"/>
      <c r="D309" s="146"/>
      <c r="E309" s="146"/>
      <c r="F309" s="146"/>
      <c r="G309" s="146"/>
    </row>
    <row r="310" spans="2:7" x14ac:dyDescent="0.25">
      <c r="B310" s="146"/>
      <c r="C310" s="146"/>
      <c r="D310" s="146"/>
      <c r="E310" s="146"/>
      <c r="F310" s="146"/>
      <c r="G310" s="146"/>
    </row>
    <row r="311" spans="2:7" x14ac:dyDescent="0.25">
      <c r="B311" s="146"/>
      <c r="C311" s="146"/>
      <c r="D311" s="146"/>
      <c r="E311" s="146"/>
      <c r="F311" s="146"/>
      <c r="G311" s="146"/>
    </row>
    <row r="312" spans="2:7" x14ac:dyDescent="0.25">
      <c r="B312" s="146"/>
      <c r="C312" s="146"/>
      <c r="D312" s="146"/>
      <c r="E312" s="146"/>
      <c r="F312" s="146"/>
      <c r="G312" s="146"/>
    </row>
    <row r="313" spans="2:7" x14ac:dyDescent="0.25">
      <c r="B313" s="146"/>
      <c r="C313" s="146"/>
      <c r="D313" s="146"/>
      <c r="E313" s="146"/>
      <c r="F313" s="146"/>
      <c r="G313" s="146"/>
    </row>
    <row r="314" spans="2:7" x14ac:dyDescent="0.25">
      <c r="B314" s="146"/>
      <c r="C314" s="146"/>
      <c r="D314" s="146"/>
      <c r="E314" s="146"/>
      <c r="F314" s="146"/>
      <c r="G314" s="146"/>
    </row>
    <row r="315" spans="2:7" x14ac:dyDescent="0.25">
      <c r="B315" s="146"/>
      <c r="C315" s="146"/>
      <c r="D315" s="146"/>
      <c r="E315" s="146"/>
      <c r="F315" s="146"/>
      <c r="G315" s="146"/>
    </row>
    <row r="316" spans="2:7" x14ac:dyDescent="0.25">
      <c r="B316" s="146"/>
      <c r="C316" s="146"/>
      <c r="D316" s="146"/>
      <c r="E316" s="146"/>
      <c r="F316" s="146"/>
      <c r="G316" s="146"/>
    </row>
    <row r="317" spans="2:7" x14ac:dyDescent="0.25">
      <c r="B317" s="146"/>
      <c r="C317" s="146"/>
      <c r="D317" s="146"/>
      <c r="E317" s="146"/>
      <c r="F317" s="146"/>
      <c r="G317" s="146"/>
    </row>
    <row r="318" spans="2:7" x14ac:dyDescent="0.25">
      <c r="B318" s="146"/>
      <c r="C318" s="146"/>
      <c r="D318" s="146"/>
      <c r="E318" s="146"/>
      <c r="F318" s="146"/>
      <c r="G318" s="146"/>
    </row>
    <row r="319" spans="2:7" x14ac:dyDescent="0.25">
      <c r="B319" s="146"/>
      <c r="C319" s="146"/>
      <c r="D319" s="146"/>
      <c r="E319" s="146"/>
      <c r="F319" s="146"/>
      <c r="G319" s="146"/>
    </row>
    <row r="320" spans="2:7" x14ac:dyDescent="0.25">
      <c r="B320" s="146"/>
      <c r="C320" s="146"/>
      <c r="D320" s="146"/>
      <c r="E320" s="146"/>
      <c r="F320" s="146"/>
      <c r="G320" s="146"/>
    </row>
    <row r="321" spans="2:7" x14ac:dyDescent="0.25">
      <c r="B321" s="146"/>
      <c r="C321" s="146"/>
      <c r="D321" s="146"/>
      <c r="E321" s="146"/>
      <c r="F321" s="146"/>
      <c r="G321" s="146"/>
    </row>
    <row r="322" spans="2:7" x14ac:dyDescent="0.25">
      <c r="B322" s="146"/>
      <c r="C322" s="146"/>
      <c r="D322" s="146"/>
      <c r="E322" s="146"/>
      <c r="F322" s="146"/>
      <c r="G322" s="146"/>
    </row>
    <row r="323" spans="2:7" x14ac:dyDescent="0.25">
      <c r="B323" s="146"/>
      <c r="C323" s="146"/>
      <c r="D323" s="146"/>
      <c r="E323" s="146"/>
      <c r="F323" s="146"/>
      <c r="G323" s="146"/>
    </row>
    <row r="324" spans="2:7" x14ac:dyDescent="0.25">
      <c r="B324" s="146"/>
      <c r="C324" s="146"/>
      <c r="D324" s="146"/>
      <c r="E324" s="146"/>
      <c r="F324" s="146"/>
      <c r="G324" s="146"/>
    </row>
    <row r="325" spans="2:7" x14ac:dyDescent="0.25">
      <c r="B325" s="146"/>
      <c r="C325" s="146"/>
      <c r="D325" s="146"/>
      <c r="E325" s="146"/>
      <c r="F325" s="146"/>
      <c r="G325" s="146"/>
    </row>
    <row r="326" spans="2:7" x14ac:dyDescent="0.25">
      <c r="B326" s="146"/>
      <c r="C326" s="146"/>
      <c r="D326" s="146"/>
      <c r="E326" s="146"/>
      <c r="F326" s="146"/>
      <c r="G326" s="146"/>
    </row>
    <row r="327" spans="2:7" x14ac:dyDescent="0.25">
      <c r="B327" s="146"/>
      <c r="C327" s="146"/>
      <c r="D327" s="146"/>
      <c r="E327" s="146"/>
      <c r="F327" s="146"/>
      <c r="G327" s="146"/>
    </row>
    <row r="328" spans="2:7" x14ac:dyDescent="0.25">
      <c r="B328" s="146"/>
      <c r="C328" s="146"/>
      <c r="D328" s="146"/>
      <c r="E328" s="146"/>
      <c r="F328" s="146"/>
      <c r="G328" s="146"/>
    </row>
    <row r="329" spans="2:7" x14ac:dyDescent="0.25">
      <c r="B329" s="146"/>
      <c r="C329" s="146"/>
      <c r="D329" s="146"/>
      <c r="E329" s="146"/>
      <c r="F329" s="146"/>
      <c r="G329" s="146"/>
    </row>
    <row r="330" spans="2:7" x14ac:dyDescent="0.25">
      <c r="B330" s="146"/>
      <c r="C330" s="146"/>
      <c r="D330" s="146"/>
      <c r="E330" s="146"/>
      <c r="F330" s="146"/>
      <c r="G330" s="146"/>
    </row>
    <row r="331" spans="2:7" x14ac:dyDescent="0.25">
      <c r="B331" s="146"/>
      <c r="C331" s="146"/>
      <c r="D331" s="146"/>
      <c r="E331" s="146"/>
      <c r="F331" s="146"/>
      <c r="G331" s="146"/>
    </row>
    <row r="332" spans="2:7" x14ac:dyDescent="0.25">
      <c r="B332" s="146"/>
      <c r="C332" s="146"/>
      <c r="D332" s="146"/>
      <c r="E332" s="146"/>
      <c r="F332" s="146"/>
      <c r="G332" s="146"/>
    </row>
    <row r="333" spans="2:7" x14ac:dyDescent="0.25">
      <c r="B333" s="146"/>
      <c r="C333" s="146"/>
      <c r="D333" s="146"/>
      <c r="E333" s="146"/>
      <c r="F333" s="146"/>
      <c r="G333" s="146"/>
    </row>
    <row r="334" spans="2:7" x14ac:dyDescent="0.25">
      <c r="B334" s="146"/>
      <c r="C334" s="146"/>
      <c r="D334" s="146"/>
      <c r="E334" s="146"/>
      <c r="F334" s="146"/>
      <c r="G334" s="146"/>
    </row>
    <row r="335" spans="2:7" x14ac:dyDescent="0.25">
      <c r="B335" s="146"/>
      <c r="C335" s="146"/>
      <c r="D335" s="146"/>
      <c r="E335" s="146"/>
      <c r="F335" s="146"/>
      <c r="G335" s="146"/>
    </row>
    <row r="336" spans="2:7" x14ac:dyDescent="0.25">
      <c r="B336" s="146"/>
      <c r="C336" s="146"/>
      <c r="D336" s="146"/>
      <c r="E336" s="146"/>
      <c r="F336" s="146"/>
      <c r="G336" s="146"/>
    </row>
    <row r="337" spans="2:7" x14ac:dyDescent="0.25">
      <c r="B337" s="146"/>
      <c r="C337" s="146"/>
      <c r="D337" s="146"/>
      <c r="E337" s="146"/>
      <c r="F337" s="146"/>
      <c r="G337" s="146"/>
    </row>
    <row r="338" spans="2:7" x14ac:dyDescent="0.25">
      <c r="B338" s="146"/>
      <c r="C338" s="146"/>
      <c r="D338" s="146"/>
      <c r="E338" s="146"/>
      <c r="F338" s="146"/>
      <c r="G338" s="146"/>
    </row>
    <row r="339" spans="2:7" x14ac:dyDescent="0.25">
      <c r="B339" s="146"/>
      <c r="C339" s="146"/>
      <c r="D339" s="146"/>
      <c r="E339" s="146"/>
      <c r="F339" s="146"/>
      <c r="G339" s="146"/>
    </row>
    <row r="340" spans="2:7" x14ac:dyDescent="0.25">
      <c r="B340" s="146"/>
      <c r="C340" s="146"/>
      <c r="D340" s="146"/>
      <c r="E340" s="146"/>
      <c r="F340" s="146"/>
      <c r="G340" s="146"/>
    </row>
    <row r="341" spans="2:7" x14ac:dyDescent="0.25">
      <c r="B341" s="146"/>
      <c r="C341" s="146"/>
      <c r="D341" s="146"/>
      <c r="E341" s="146"/>
      <c r="F341" s="146"/>
      <c r="G341" s="146"/>
    </row>
    <row r="342" spans="2:7" x14ac:dyDescent="0.25">
      <c r="B342" s="146"/>
      <c r="C342" s="146"/>
      <c r="D342" s="146"/>
      <c r="E342" s="146"/>
      <c r="F342" s="146"/>
      <c r="G342" s="146"/>
    </row>
    <row r="343" spans="2:7" x14ac:dyDescent="0.25">
      <c r="B343" s="146"/>
      <c r="C343" s="146"/>
      <c r="D343" s="146"/>
      <c r="E343" s="146"/>
      <c r="F343" s="146"/>
      <c r="G343" s="146"/>
    </row>
    <row r="344" spans="2:7" x14ac:dyDescent="0.25">
      <c r="B344" s="146"/>
      <c r="C344" s="146"/>
      <c r="D344" s="146"/>
      <c r="E344" s="146"/>
      <c r="F344" s="146"/>
      <c r="G344" s="146"/>
    </row>
    <row r="345" spans="2:7" x14ac:dyDescent="0.25">
      <c r="B345" s="146"/>
      <c r="C345" s="146"/>
      <c r="D345" s="146"/>
      <c r="E345" s="146"/>
      <c r="F345" s="146"/>
      <c r="G345" s="146"/>
    </row>
    <row r="346" spans="2:7" x14ac:dyDescent="0.25">
      <c r="B346" s="146"/>
      <c r="C346" s="146"/>
      <c r="D346" s="146"/>
      <c r="E346" s="146"/>
      <c r="F346" s="146"/>
      <c r="G346" s="146"/>
    </row>
    <row r="347" spans="2:7" x14ac:dyDescent="0.25">
      <c r="B347" s="146"/>
      <c r="C347" s="146"/>
      <c r="D347" s="146"/>
      <c r="E347" s="146"/>
      <c r="F347" s="146"/>
      <c r="G347" s="146"/>
    </row>
    <row r="348" spans="2:7" x14ac:dyDescent="0.25">
      <c r="B348" s="146"/>
      <c r="C348" s="146"/>
      <c r="D348" s="146"/>
      <c r="E348" s="146"/>
      <c r="F348" s="146"/>
      <c r="G348" s="146"/>
    </row>
    <row r="349" spans="2:7" x14ac:dyDescent="0.25">
      <c r="B349" s="146"/>
      <c r="C349" s="146"/>
      <c r="D349" s="146"/>
      <c r="E349" s="146"/>
      <c r="F349" s="146"/>
      <c r="G349" s="146"/>
    </row>
    <row r="350" spans="2:7" x14ac:dyDescent="0.25">
      <c r="B350" s="146"/>
      <c r="C350" s="146"/>
      <c r="D350" s="146"/>
      <c r="E350" s="146"/>
      <c r="F350" s="146"/>
      <c r="G350" s="146"/>
    </row>
    <row r="351" spans="2:7" x14ac:dyDescent="0.25">
      <c r="B351" s="146"/>
      <c r="C351" s="146"/>
      <c r="D351" s="146"/>
      <c r="E351" s="146"/>
      <c r="F351" s="146"/>
      <c r="G351" s="146"/>
    </row>
    <row r="352" spans="2:7" x14ac:dyDescent="0.25">
      <c r="B352" s="146"/>
      <c r="C352" s="146"/>
      <c r="D352" s="146"/>
      <c r="E352" s="146"/>
      <c r="F352" s="146"/>
      <c r="G352" s="146"/>
    </row>
    <row r="353" spans="2:7" x14ac:dyDescent="0.25">
      <c r="B353" s="146"/>
      <c r="C353" s="146"/>
      <c r="D353" s="146"/>
      <c r="E353" s="146"/>
      <c r="F353" s="146"/>
      <c r="G353" s="146"/>
    </row>
    <row r="354" spans="2:7" x14ac:dyDescent="0.25">
      <c r="B354" s="146"/>
      <c r="C354" s="146"/>
      <c r="D354" s="146"/>
      <c r="E354" s="146"/>
      <c r="F354" s="146"/>
      <c r="G354" s="146"/>
    </row>
    <row r="355" spans="2:7" x14ac:dyDescent="0.25">
      <c r="B355" s="146"/>
      <c r="C355" s="146"/>
      <c r="D355" s="146"/>
      <c r="E355" s="146"/>
      <c r="F355" s="146"/>
      <c r="G355" s="146"/>
    </row>
    <row r="356" spans="2:7" x14ac:dyDescent="0.25">
      <c r="B356" s="146"/>
      <c r="C356" s="146"/>
      <c r="D356" s="146"/>
      <c r="E356" s="146"/>
      <c r="F356" s="146"/>
      <c r="G356" s="146"/>
    </row>
    <row r="357" spans="2:7" x14ac:dyDescent="0.25">
      <c r="B357" s="146"/>
      <c r="C357" s="146"/>
      <c r="D357" s="146"/>
      <c r="E357" s="146"/>
      <c r="F357" s="146"/>
      <c r="G357" s="146"/>
    </row>
    <row r="358" spans="2:7" x14ac:dyDescent="0.25">
      <c r="B358" s="146"/>
      <c r="C358" s="146"/>
      <c r="D358" s="146"/>
      <c r="E358" s="146"/>
      <c r="F358" s="146"/>
      <c r="G358" s="146"/>
    </row>
    <row r="359" spans="2:7" x14ac:dyDescent="0.25">
      <c r="B359" s="146"/>
      <c r="C359" s="146"/>
      <c r="D359" s="146"/>
      <c r="E359" s="146"/>
      <c r="F359" s="146"/>
      <c r="G359" s="146"/>
    </row>
    <row r="360" spans="2:7" x14ac:dyDescent="0.25">
      <c r="B360" s="146"/>
      <c r="C360" s="146"/>
      <c r="D360" s="146"/>
      <c r="E360" s="146"/>
      <c r="F360" s="146"/>
      <c r="G360" s="146"/>
    </row>
    <row r="361" spans="2:7" x14ac:dyDescent="0.25">
      <c r="B361" s="146"/>
      <c r="C361" s="146"/>
      <c r="D361" s="146"/>
      <c r="E361" s="146"/>
      <c r="F361" s="146"/>
      <c r="G361" s="146"/>
    </row>
    <row r="362" spans="2:7" x14ac:dyDescent="0.25">
      <c r="B362" s="146"/>
      <c r="C362" s="146"/>
      <c r="D362" s="146"/>
      <c r="E362" s="146"/>
      <c r="F362" s="146"/>
      <c r="G362" s="146"/>
    </row>
    <row r="363" spans="2:7" x14ac:dyDescent="0.25">
      <c r="B363" s="146"/>
      <c r="C363" s="146"/>
      <c r="D363" s="146"/>
      <c r="E363" s="146"/>
      <c r="F363" s="146"/>
      <c r="G363" s="146"/>
    </row>
    <row r="364" spans="2:7" x14ac:dyDescent="0.25">
      <c r="B364" s="146"/>
      <c r="C364" s="146"/>
      <c r="D364" s="146"/>
      <c r="E364" s="146"/>
      <c r="F364" s="146"/>
      <c r="G364" s="146"/>
    </row>
    <row r="365" spans="2:7" x14ac:dyDescent="0.25">
      <c r="B365" s="146"/>
      <c r="C365" s="146"/>
      <c r="D365" s="146"/>
      <c r="E365" s="146"/>
      <c r="F365" s="146"/>
      <c r="G365" s="146"/>
    </row>
    <row r="366" spans="2:7" x14ac:dyDescent="0.25">
      <c r="B366" s="146"/>
      <c r="C366" s="146"/>
      <c r="D366" s="146"/>
      <c r="E366" s="146"/>
      <c r="F366" s="146"/>
      <c r="G366" s="146"/>
    </row>
    <row r="367" spans="2:7" x14ac:dyDescent="0.25">
      <c r="B367" s="146"/>
      <c r="C367" s="146"/>
      <c r="D367" s="146"/>
      <c r="E367" s="146"/>
      <c r="F367" s="146"/>
      <c r="G367" s="146"/>
    </row>
    <row r="368" spans="2:7" x14ac:dyDescent="0.25">
      <c r="B368" s="146"/>
      <c r="C368" s="146"/>
      <c r="D368" s="146"/>
      <c r="E368" s="146"/>
      <c r="F368" s="146"/>
      <c r="G368" s="146"/>
    </row>
    <row r="369" spans="2:7" x14ac:dyDescent="0.25">
      <c r="B369" s="146"/>
      <c r="C369" s="146"/>
      <c r="D369" s="146"/>
      <c r="E369" s="146"/>
      <c r="F369" s="146"/>
      <c r="G369" s="146"/>
    </row>
    <row r="370" spans="2:7" x14ac:dyDescent="0.25">
      <c r="B370" s="146"/>
      <c r="C370" s="146"/>
      <c r="D370" s="146"/>
      <c r="E370" s="146"/>
      <c r="F370" s="146"/>
      <c r="G370" s="146"/>
    </row>
    <row r="371" spans="2:7" x14ac:dyDescent="0.25">
      <c r="B371" s="146"/>
      <c r="C371" s="146"/>
      <c r="D371" s="146"/>
      <c r="E371" s="146"/>
      <c r="F371" s="146"/>
      <c r="G371" s="146"/>
    </row>
    <row r="372" spans="2:7" x14ac:dyDescent="0.25">
      <c r="B372" s="146"/>
      <c r="C372" s="146"/>
      <c r="D372" s="146"/>
      <c r="E372" s="146"/>
      <c r="F372" s="146"/>
      <c r="G372" s="146"/>
    </row>
    <row r="373" spans="2:7" x14ac:dyDescent="0.25">
      <c r="B373" s="146"/>
      <c r="C373" s="146"/>
      <c r="D373" s="146"/>
      <c r="E373" s="146"/>
      <c r="F373" s="146"/>
      <c r="G373" s="146"/>
    </row>
    <row r="374" spans="2:7" x14ac:dyDescent="0.25">
      <c r="B374" s="146"/>
      <c r="C374" s="146"/>
      <c r="D374" s="146"/>
      <c r="E374" s="146"/>
      <c r="F374" s="146"/>
      <c r="G374" s="146"/>
    </row>
    <row r="375" spans="2:7" x14ac:dyDescent="0.25">
      <c r="B375" s="146"/>
      <c r="C375" s="146"/>
      <c r="D375" s="146"/>
      <c r="E375" s="146"/>
      <c r="F375" s="146"/>
      <c r="G375" s="146"/>
    </row>
    <row r="376" spans="2:7" x14ac:dyDescent="0.25">
      <c r="B376" s="146"/>
      <c r="C376" s="146"/>
      <c r="D376" s="146"/>
      <c r="E376" s="146"/>
      <c r="F376" s="146"/>
      <c r="G376" s="146"/>
    </row>
    <row r="377" spans="2:7" x14ac:dyDescent="0.25">
      <c r="B377" s="146"/>
      <c r="C377" s="146"/>
      <c r="D377" s="146"/>
      <c r="E377" s="146"/>
      <c r="F377" s="146"/>
      <c r="G377" s="146"/>
    </row>
    <row r="378" spans="2:7" x14ac:dyDescent="0.25">
      <c r="B378" s="146"/>
      <c r="C378" s="146"/>
      <c r="D378" s="146"/>
      <c r="E378" s="146"/>
      <c r="F378" s="146"/>
      <c r="G378" s="146"/>
    </row>
    <row r="379" spans="2:7" x14ac:dyDescent="0.25">
      <c r="B379" s="146"/>
      <c r="C379" s="146"/>
      <c r="D379" s="146"/>
      <c r="E379" s="146"/>
      <c r="F379" s="146"/>
      <c r="G379" s="146"/>
    </row>
    <row r="380" spans="2:7" x14ac:dyDescent="0.25">
      <c r="B380" s="146"/>
      <c r="C380" s="146"/>
      <c r="D380" s="146"/>
      <c r="E380" s="146"/>
      <c r="F380" s="146"/>
      <c r="G380" s="146"/>
    </row>
    <row r="381" spans="2:7" x14ac:dyDescent="0.25">
      <c r="B381" s="146"/>
      <c r="C381" s="146"/>
      <c r="D381" s="146"/>
      <c r="E381" s="146"/>
      <c r="F381" s="146"/>
      <c r="G381" s="146"/>
    </row>
    <row r="382" spans="2:7" x14ac:dyDescent="0.25">
      <c r="B382" s="146"/>
      <c r="C382" s="146"/>
      <c r="D382" s="146"/>
      <c r="E382" s="146"/>
      <c r="F382" s="146"/>
      <c r="G382" s="146"/>
    </row>
    <row r="383" spans="2:7" x14ac:dyDescent="0.25">
      <c r="B383" s="146"/>
      <c r="C383" s="146"/>
      <c r="D383" s="146"/>
      <c r="E383" s="146"/>
      <c r="F383" s="146"/>
      <c r="G383" s="146"/>
    </row>
    <row r="384" spans="2:7" x14ac:dyDescent="0.25">
      <c r="B384" s="146"/>
      <c r="C384" s="146"/>
      <c r="D384" s="146"/>
      <c r="E384" s="146"/>
      <c r="F384" s="146"/>
      <c r="G384" s="146"/>
    </row>
    <row r="385" spans="2:7" x14ac:dyDescent="0.25">
      <c r="B385" s="146"/>
      <c r="C385" s="146"/>
      <c r="D385" s="146"/>
      <c r="E385" s="146"/>
      <c r="F385" s="146"/>
      <c r="G385" s="146"/>
    </row>
    <row r="386" spans="2:7" x14ac:dyDescent="0.25">
      <c r="B386" s="146"/>
      <c r="C386" s="146"/>
      <c r="D386" s="146"/>
      <c r="E386" s="146"/>
      <c r="F386" s="146"/>
      <c r="G386" s="146"/>
    </row>
    <row r="387" spans="2:7" x14ac:dyDescent="0.25">
      <c r="B387" s="146"/>
      <c r="C387" s="146"/>
      <c r="D387" s="146"/>
      <c r="E387" s="146"/>
      <c r="F387" s="146"/>
      <c r="G387" s="146"/>
    </row>
    <row r="388" spans="2:7" x14ac:dyDescent="0.25">
      <c r="B388" s="146"/>
      <c r="C388" s="146"/>
      <c r="D388" s="146"/>
      <c r="E388" s="146"/>
      <c r="F388" s="146"/>
      <c r="G388" s="146"/>
    </row>
    <row r="389" spans="2:7" x14ac:dyDescent="0.25">
      <c r="B389" s="146"/>
      <c r="C389" s="146"/>
      <c r="D389" s="146"/>
      <c r="E389" s="146"/>
      <c r="F389" s="146"/>
      <c r="G389" s="146"/>
    </row>
    <row r="390" spans="2:7" x14ac:dyDescent="0.25">
      <c r="B390" s="146"/>
      <c r="C390" s="146"/>
      <c r="D390" s="146"/>
      <c r="E390" s="146"/>
      <c r="F390" s="146"/>
      <c r="G390" s="146"/>
    </row>
    <row r="391" spans="2:7" x14ac:dyDescent="0.25">
      <c r="B391" s="146"/>
      <c r="C391" s="146"/>
      <c r="D391" s="146"/>
      <c r="E391" s="146"/>
      <c r="F391" s="146"/>
      <c r="G391" s="146"/>
    </row>
    <row r="392" spans="2:7" x14ac:dyDescent="0.25">
      <c r="B392" s="146"/>
      <c r="C392" s="146"/>
      <c r="D392" s="146"/>
      <c r="E392" s="146"/>
      <c r="F392" s="146"/>
      <c r="G392" s="146"/>
    </row>
    <row r="393" spans="2:7" x14ac:dyDescent="0.25">
      <c r="B393" s="146"/>
      <c r="C393" s="146"/>
      <c r="D393" s="146"/>
      <c r="E393" s="146"/>
      <c r="F393" s="146"/>
      <c r="G393" s="146"/>
    </row>
    <row r="394" spans="2:7" x14ac:dyDescent="0.25">
      <c r="B394" s="146"/>
      <c r="C394" s="146"/>
      <c r="D394" s="146"/>
      <c r="E394" s="146"/>
      <c r="F394" s="146"/>
      <c r="G394" s="146"/>
    </row>
    <row r="395" spans="2:7" x14ac:dyDescent="0.25">
      <c r="B395" s="146"/>
      <c r="C395" s="146"/>
      <c r="D395" s="146"/>
      <c r="E395" s="146"/>
      <c r="F395" s="146"/>
      <c r="G395" s="146"/>
    </row>
    <row r="396" spans="2:7" x14ac:dyDescent="0.25">
      <c r="B396" s="146"/>
      <c r="C396" s="146"/>
      <c r="D396" s="146"/>
      <c r="E396" s="146"/>
      <c r="F396" s="146"/>
      <c r="G396" s="146"/>
    </row>
    <row r="397" spans="2:7" x14ac:dyDescent="0.25">
      <c r="B397" s="146"/>
      <c r="C397" s="146"/>
      <c r="D397" s="146"/>
      <c r="E397" s="146"/>
      <c r="F397" s="146"/>
      <c r="G397" s="146"/>
    </row>
    <row r="398" spans="2:7" x14ac:dyDescent="0.25">
      <c r="B398" s="146"/>
      <c r="C398" s="146"/>
      <c r="D398" s="146"/>
      <c r="E398" s="146"/>
      <c r="F398" s="146"/>
      <c r="G398" s="146"/>
    </row>
    <row r="399" spans="2:7" x14ac:dyDescent="0.25">
      <c r="B399" s="146"/>
      <c r="C399" s="146"/>
      <c r="D399" s="146"/>
      <c r="E399" s="146"/>
      <c r="F399" s="146"/>
      <c r="G399" s="146"/>
    </row>
    <row r="400" spans="2:7" x14ac:dyDescent="0.25">
      <c r="B400" s="146"/>
      <c r="C400" s="146"/>
      <c r="D400" s="146"/>
      <c r="E400" s="146"/>
      <c r="F400" s="146"/>
      <c r="G400" s="146"/>
    </row>
    <row r="401" spans="2:7" x14ac:dyDescent="0.25">
      <c r="B401" s="146"/>
      <c r="C401" s="146"/>
      <c r="D401" s="146"/>
      <c r="E401" s="146"/>
      <c r="F401" s="146"/>
      <c r="G401" s="146"/>
    </row>
    <row r="402" spans="2:7" x14ac:dyDescent="0.25">
      <c r="B402" s="146"/>
      <c r="C402" s="146"/>
      <c r="D402" s="146"/>
      <c r="E402" s="146"/>
      <c r="F402" s="146"/>
      <c r="G402" s="146"/>
    </row>
    <row r="403" spans="2:7" x14ac:dyDescent="0.25">
      <c r="B403" s="146"/>
      <c r="C403" s="146"/>
      <c r="D403" s="146"/>
      <c r="E403" s="146"/>
      <c r="F403" s="146"/>
      <c r="G403" s="146"/>
    </row>
    <row r="404" spans="2:7" x14ac:dyDescent="0.25">
      <c r="B404" s="146"/>
      <c r="C404" s="146"/>
      <c r="D404" s="146"/>
      <c r="E404" s="146"/>
      <c r="F404" s="146"/>
      <c r="G404" s="146"/>
    </row>
    <row r="405" spans="2:7" x14ac:dyDescent="0.25">
      <c r="B405" s="146"/>
      <c r="C405" s="146"/>
      <c r="D405" s="146"/>
      <c r="E405" s="146"/>
      <c r="F405" s="146"/>
      <c r="G405" s="146"/>
    </row>
    <row r="406" spans="2:7" x14ac:dyDescent="0.25">
      <c r="B406" s="146"/>
      <c r="C406" s="146"/>
      <c r="D406" s="146"/>
      <c r="E406" s="146"/>
      <c r="F406" s="146"/>
      <c r="G406" s="146"/>
    </row>
    <row r="407" spans="2:7" x14ac:dyDescent="0.25">
      <c r="B407" s="146"/>
      <c r="C407" s="146"/>
      <c r="D407" s="146"/>
      <c r="E407" s="146"/>
      <c r="F407" s="146"/>
      <c r="G407" s="146"/>
    </row>
    <row r="408" spans="2:7" x14ac:dyDescent="0.25">
      <c r="B408" s="146"/>
      <c r="C408" s="146"/>
      <c r="D408" s="146"/>
      <c r="E408" s="146"/>
      <c r="F408" s="146"/>
      <c r="G408" s="146"/>
    </row>
    <row r="409" spans="2:7" x14ac:dyDescent="0.25">
      <c r="B409" s="146"/>
      <c r="C409" s="146"/>
      <c r="D409" s="146"/>
      <c r="E409" s="146"/>
      <c r="F409" s="146"/>
      <c r="G409" s="146"/>
    </row>
    <row r="410" spans="2:7" x14ac:dyDescent="0.25">
      <c r="B410" s="146"/>
      <c r="C410" s="146"/>
      <c r="D410" s="146"/>
      <c r="E410" s="146"/>
      <c r="F410" s="146"/>
      <c r="G410" s="146"/>
    </row>
    <row r="411" spans="2:7" x14ac:dyDescent="0.25">
      <c r="B411" s="146"/>
      <c r="C411" s="146"/>
      <c r="D411" s="146"/>
      <c r="E411" s="146"/>
      <c r="F411" s="146"/>
      <c r="G411" s="146"/>
    </row>
    <row r="412" spans="2:7" x14ac:dyDescent="0.25">
      <c r="B412" s="146"/>
      <c r="C412" s="146"/>
      <c r="D412" s="146"/>
      <c r="E412" s="146"/>
      <c r="F412" s="146"/>
      <c r="G412" s="146"/>
    </row>
    <row r="413" spans="2:7" x14ac:dyDescent="0.25">
      <c r="B413" s="146"/>
      <c r="C413" s="146"/>
      <c r="D413" s="146"/>
      <c r="E413" s="146"/>
      <c r="F413" s="146"/>
      <c r="G413" s="146"/>
    </row>
    <row r="414" spans="2:7" x14ac:dyDescent="0.25">
      <c r="B414" s="146"/>
      <c r="C414" s="146"/>
      <c r="D414" s="146"/>
      <c r="E414" s="146"/>
      <c r="F414" s="146"/>
      <c r="G414" s="146"/>
    </row>
    <row r="415" spans="2:7" x14ac:dyDescent="0.25">
      <c r="B415" s="146"/>
      <c r="C415" s="146"/>
      <c r="D415" s="146"/>
      <c r="E415" s="146"/>
      <c r="F415" s="146"/>
      <c r="G415" s="146"/>
    </row>
    <row r="416" spans="2:7" x14ac:dyDescent="0.25">
      <c r="B416" s="146"/>
      <c r="C416" s="146"/>
      <c r="D416" s="146"/>
      <c r="E416" s="146"/>
      <c r="F416" s="146"/>
      <c r="G416" s="146"/>
    </row>
    <row r="417" spans="2:7" x14ac:dyDescent="0.25">
      <c r="B417" s="146"/>
      <c r="C417" s="146"/>
      <c r="D417" s="146"/>
      <c r="E417" s="146"/>
      <c r="F417" s="146"/>
      <c r="G417" s="146"/>
    </row>
    <row r="418" spans="2:7" x14ac:dyDescent="0.25">
      <c r="B418" s="146"/>
      <c r="C418" s="146"/>
      <c r="D418" s="146"/>
      <c r="E418" s="146"/>
      <c r="F418" s="146"/>
      <c r="G418" s="146"/>
    </row>
    <row r="419" spans="2:7" x14ac:dyDescent="0.25">
      <c r="B419" s="146"/>
      <c r="C419" s="146"/>
      <c r="D419" s="146"/>
      <c r="E419" s="146"/>
      <c r="F419" s="146"/>
      <c r="G419" s="146"/>
    </row>
    <row r="420" spans="2:7" x14ac:dyDescent="0.25">
      <c r="B420" s="146"/>
      <c r="C420" s="146"/>
      <c r="D420" s="146"/>
      <c r="E420" s="146"/>
      <c r="F420" s="146"/>
      <c r="G420" s="146"/>
    </row>
    <row r="421" spans="2:7" x14ac:dyDescent="0.25">
      <c r="B421" s="146"/>
      <c r="C421" s="146"/>
      <c r="D421" s="146"/>
      <c r="E421" s="146"/>
      <c r="F421" s="146"/>
      <c r="G421" s="146"/>
    </row>
    <row r="422" spans="2:7" x14ac:dyDescent="0.25">
      <c r="B422" s="146"/>
      <c r="C422" s="146"/>
      <c r="D422" s="146"/>
      <c r="E422" s="146"/>
      <c r="F422" s="146"/>
      <c r="G422" s="146"/>
    </row>
    <row r="423" spans="2:7" x14ac:dyDescent="0.25">
      <c r="B423" s="146"/>
      <c r="C423" s="146"/>
      <c r="D423" s="146"/>
      <c r="E423" s="146"/>
      <c r="F423" s="146"/>
      <c r="G423" s="146"/>
    </row>
    <row r="424" spans="2:7" x14ac:dyDescent="0.25">
      <c r="B424" s="146"/>
      <c r="C424" s="146"/>
      <c r="D424" s="146"/>
      <c r="E424" s="146"/>
      <c r="F424" s="146"/>
      <c r="G424" s="146"/>
    </row>
    <row r="425" spans="2:7" x14ac:dyDescent="0.25">
      <c r="B425" s="146"/>
      <c r="C425" s="146"/>
      <c r="D425" s="146"/>
      <c r="E425" s="146"/>
      <c r="F425" s="146"/>
      <c r="G425" s="146"/>
    </row>
    <row r="426" spans="2:7" x14ac:dyDescent="0.25">
      <c r="B426" s="146"/>
      <c r="C426" s="146"/>
      <c r="D426" s="146"/>
      <c r="E426" s="146"/>
      <c r="F426" s="146"/>
      <c r="G426" s="146"/>
    </row>
    <row r="427" spans="2:7" x14ac:dyDescent="0.25">
      <c r="B427" s="146"/>
      <c r="C427" s="146"/>
      <c r="D427" s="146"/>
      <c r="E427" s="146"/>
      <c r="F427" s="146"/>
      <c r="G427" s="146"/>
    </row>
    <row r="428" spans="2:7" x14ac:dyDescent="0.25">
      <c r="B428" s="146"/>
      <c r="C428" s="146"/>
      <c r="D428" s="146"/>
      <c r="E428" s="146"/>
      <c r="F428" s="146"/>
      <c r="G428" s="146"/>
    </row>
    <row r="429" spans="2:7" x14ac:dyDescent="0.25">
      <c r="B429" s="146"/>
      <c r="C429" s="146"/>
      <c r="D429" s="146"/>
      <c r="E429" s="146"/>
      <c r="F429" s="146"/>
      <c r="G429" s="146"/>
    </row>
    <row r="430" spans="2:7" x14ac:dyDescent="0.25">
      <c r="B430" s="146"/>
      <c r="C430" s="146"/>
      <c r="D430" s="146"/>
      <c r="E430" s="146"/>
      <c r="F430" s="146"/>
      <c r="G430" s="146"/>
    </row>
    <row r="431" spans="2:7" x14ac:dyDescent="0.25">
      <c r="B431" s="146"/>
      <c r="C431" s="146"/>
      <c r="D431" s="146"/>
      <c r="E431" s="146"/>
      <c r="F431" s="146"/>
      <c r="G431" s="146"/>
    </row>
    <row r="432" spans="2:7" x14ac:dyDescent="0.25">
      <c r="B432" s="146"/>
      <c r="C432" s="146"/>
      <c r="D432" s="146"/>
      <c r="E432" s="146"/>
      <c r="F432" s="146"/>
      <c r="G432" s="146"/>
    </row>
    <row r="433" spans="2:7" x14ac:dyDescent="0.25">
      <c r="B433" s="146"/>
      <c r="C433" s="146"/>
      <c r="D433" s="146"/>
      <c r="E433" s="146"/>
      <c r="F433" s="146"/>
      <c r="G433" s="146"/>
    </row>
    <row r="434" spans="2:7" x14ac:dyDescent="0.25">
      <c r="B434" s="146"/>
      <c r="C434" s="146"/>
      <c r="D434" s="146"/>
      <c r="E434" s="146"/>
      <c r="F434" s="146"/>
      <c r="G434" s="146"/>
    </row>
    <row r="435" spans="2:7" x14ac:dyDescent="0.25">
      <c r="B435" s="146"/>
      <c r="C435" s="146"/>
      <c r="D435" s="146"/>
      <c r="E435" s="146"/>
      <c r="F435" s="146"/>
      <c r="G435" s="146"/>
    </row>
    <row r="436" spans="2:7" x14ac:dyDescent="0.25">
      <c r="B436" s="146"/>
      <c r="C436" s="146"/>
      <c r="D436" s="146"/>
      <c r="E436" s="146"/>
      <c r="F436" s="146"/>
      <c r="G436" s="146"/>
    </row>
    <row r="437" spans="2:7" x14ac:dyDescent="0.25">
      <c r="B437" s="146"/>
      <c r="C437" s="146"/>
      <c r="D437" s="146"/>
      <c r="E437" s="146"/>
      <c r="F437" s="146"/>
      <c r="G437" s="146"/>
    </row>
    <row r="438" spans="2:7" x14ac:dyDescent="0.25">
      <c r="B438" s="146"/>
      <c r="C438" s="146"/>
      <c r="D438" s="146"/>
      <c r="E438" s="146"/>
      <c r="F438" s="146"/>
      <c r="G438" s="146"/>
    </row>
    <row r="439" spans="2:7" x14ac:dyDescent="0.25">
      <c r="B439" s="146"/>
      <c r="C439" s="146"/>
      <c r="D439" s="146"/>
      <c r="E439" s="146"/>
      <c r="F439" s="146"/>
      <c r="G439" s="146"/>
    </row>
    <row r="440" spans="2:7" x14ac:dyDescent="0.25">
      <c r="B440" s="146"/>
      <c r="C440" s="146"/>
      <c r="D440" s="146"/>
      <c r="E440" s="146"/>
      <c r="F440" s="146"/>
      <c r="G440" s="146"/>
    </row>
    <row r="441" spans="2:7" x14ac:dyDescent="0.25">
      <c r="B441" s="146"/>
      <c r="C441" s="146"/>
      <c r="D441" s="146"/>
      <c r="E441" s="146"/>
      <c r="F441" s="146"/>
      <c r="G441" s="146"/>
    </row>
    <row r="442" spans="2:7" x14ac:dyDescent="0.25">
      <c r="B442" s="146"/>
      <c r="C442" s="146"/>
      <c r="D442" s="146"/>
      <c r="E442" s="146"/>
      <c r="F442" s="146"/>
      <c r="G442" s="146"/>
    </row>
    <row r="443" spans="2:7" x14ac:dyDescent="0.25">
      <c r="B443" s="146"/>
      <c r="C443" s="146"/>
      <c r="D443" s="146"/>
      <c r="E443" s="146"/>
      <c r="F443" s="146"/>
      <c r="G443" s="146"/>
    </row>
    <row r="444" spans="2:7" x14ac:dyDescent="0.25">
      <c r="B444" s="146"/>
      <c r="C444" s="146"/>
      <c r="D444" s="146"/>
      <c r="E444" s="146"/>
      <c r="F444" s="146"/>
      <c r="G444" s="146"/>
    </row>
    <row r="445" spans="2:7" x14ac:dyDescent="0.25">
      <c r="B445" s="146"/>
      <c r="C445" s="146"/>
      <c r="D445" s="146"/>
      <c r="E445" s="146"/>
      <c r="F445" s="146"/>
      <c r="G445" s="146"/>
    </row>
    <row r="446" spans="2:7" x14ac:dyDescent="0.25">
      <c r="B446" s="146"/>
      <c r="C446" s="146"/>
      <c r="D446" s="146"/>
      <c r="E446" s="146"/>
      <c r="F446" s="146"/>
      <c r="G446" s="146"/>
    </row>
    <row r="447" spans="2:7" x14ac:dyDescent="0.25">
      <c r="B447" s="146"/>
      <c r="C447" s="146"/>
      <c r="D447" s="146"/>
      <c r="E447" s="146"/>
      <c r="F447" s="146"/>
      <c r="G447" s="146"/>
    </row>
    <row r="448" spans="2:7" x14ac:dyDescent="0.25">
      <c r="B448" s="146"/>
      <c r="C448" s="146"/>
      <c r="D448" s="146"/>
      <c r="E448" s="146"/>
      <c r="F448" s="146"/>
      <c r="G448" s="146"/>
    </row>
    <row r="449" spans="2:7" x14ac:dyDescent="0.25">
      <c r="B449" s="146"/>
      <c r="C449" s="146"/>
      <c r="D449" s="146"/>
      <c r="E449" s="146"/>
      <c r="F449" s="146"/>
      <c r="G449" s="146"/>
    </row>
    <row r="450" spans="2:7" x14ac:dyDescent="0.25">
      <c r="B450" s="146"/>
      <c r="C450" s="146"/>
      <c r="D450" s="146"/>
      <c r="E450" s="146"/>
      <c r="F450" s="146"/>
      <c r="G450" s="146"/>
    </row>
    <row r="451" spans="2:7" x14ac:dyDescent="0.25">
      <c r="B451" s="146"/>
      <c r="C451" s="146"/>
      <c r="D451" s="146"/>
      <c r="E451" s="146"/>
      <c r="F451" s="146"/>
      <c r="G451" s="146"/>
    </row>
    <row r="452" spans="2:7" x14ac:dyDescent="0.25">
      <c r="B452" s="146"/>
      <c r="C452" s="146"/>
      <c r="D452" s="146"/>
      <c r="E452" s="146"/>
      <c r="F452" s="146"/>
      <c r="G452" s="146"/>
    </row>
    <row r="453" spans="2:7" x14ac:dyDescent="0.25">
      <c r="B453" s="146"/>
      <c r="C453" s="146"/>
      <c r="D453" s="146"/>
      <c r="E453" s="146"/>
      <c r="F453" s="146"/>
      <c r="G453" s="146"/>
    </row>
    <row r="454" spans="2:7" x14ac:dyDescent="0.25">
      <c r="B454" s="146"/>
      <c r="C454" s="146"/>
      <c r="D454" s="146"/>
      <c r="E454" s="146"/>
      <c r="F454" s="146"/>
      <c r="G454" s="146"/>
    </row>
    <row r="455" spans="2:7" x14ac:dyDescent="0.25">
      <c r="B455" s="146"/>
      <c r="C455" s="146"/>
      <c r="D455" s="146"/>
      <c r="E455" s="146"/>
      <c r="F455" s="146"/>
      <c r="G455" s="146"/>
    </row>
    <row r="456" spans="2:7" x14ac:dyDescent="0.25">
      <c r="B456" s="146"/>
      <c r="C456" s="146"/>
      <c r="D456" s="146"/>
      <c r="E456" s="146"/>
      <c r="F456" s="146"/>
      <c r="G456" s="146"/>
    </row>
    <row r="457" spans="2:7" x14ac:dyDescent="0.25">
      <c r="B457" s="146"/>
      <c r="C457" s="146"/>
      <c r="D457" s="146"/>
      <c r="E457" s="146"/>
      <c r="F457" s="146"/>
      <c r="G457" s="146"/>
    </row>
    <row r="458" spans="2:7" x14ac:dyDescent="0.25">
      <c r="B458" s="146"/>
      <c r="C458" s="146"/>
      <c r="D458" s="146"/>
      <c r="E458" s="146"/>
      <c r="F458" s="146"/>
      <c r="G458" s="146"/>
    </row>
    <row r="459" spans="2:7" x14ac:dyDescent="0.25">
      <c r="B459" s="146"/>
      <c r="C459" s="146"/>
      <c r="D459" s="146"/>
      <c r="E459" s="146"/>
      <c r="F459" s="146"/>
      <c r="G459" s="146"/>
    </row>
    <row r="460" spans="2:7" x14ac:dyDescent="0.25">
      <c r="B460" s="146"/>
      <c r="C460" s="146"/>
      <c r="D460" s="146"/>
      <c r="E460" s="146"/>
      <c r="F460" s="146"/>
      <c r="G460" s="146"/>
    </row>
    <row r="461" spans="2:7" x14ac:dyDescent="0.25">
      <c r="B461" s="146"/>
      <c r="C461" s="146"/>
      <c r="D461" s="146"/>
      <c r="E461" s="146"/>
      <c r="F461" s="146"/>
      <c r="G461" s="146"/>
    </row>
    <row r="462" spans="2:7" x14ac:dyDescent="0.25">
      <c r="B462" s="146"/>
      <c r="C462" s="146"/>
      <c r="D462" s="146"/>
      <c r="E462" s="146"/>
      <c r="F462" s="146"/>
      <c r="G462" s="146"/>
    </row>
    <row r="463" spans="2:7" x14ac:dyDescent="0.25">
      <c r="B463" s="146"/>
      <c r="C463" s="146"/>
      <c r="D463" s="146"/>
      <c r="E463" s="146"/>
      <c r="F463" s="146"/>
      <c r="G463" s="146"/>
    </row>
    <row r="464" spans="2:7" x14ac:dyDescent="0.25">
      <c r="B464" s="146"/>
      <c r="C464" s="146"/>
      <c r="D464" s="146"/>
      <c r="E464" s="146"/>
      <c r="F464" s="146"/>
      <c r="G464" s="146"/>
    </row>
    <row r="465" spans="2:7" x14ac:dyDescent="0.25">
      <c r="B465" s="146"/>
      <c r="C465" s="146"/>
      <c r="D465" s="146"/>
      <c r="E465" s="146"/>
      <c r="F465" s="146"/>
      <c r="G465" s="146"/>
    </row>
    <row r="466" spans="2:7" x14ac:dyDescent="0.25">
      <c r="B466" s="146"/>
      <c r="C466" s="146"/>
      <c r="D466" s="146"/>
      <c r="E466" s="146"/>
      <c r="F466" s="146"/>
      <c r="G466" s="146"/>
    </row>
    <row r="467" spans="2:7" x14ac:dyDescent="0.25">
      <c r="B467" s="146"/>
      <c r="C467" s="146"/>
      <c r="D467" s="146"/>
      <c r="E467" s="146"/>
      <c r="F467" s="146"/>
      <c r="G467" s="146"/>
    </row>
    <row r="468" spans="2:7" x14ac:dyDescent="0.25">
      <c r="B468" s="146"/>
      <c r="C468" s="146"/>
      <c r="D468" s="146"/>
      <c r="E468" s="146"/>
      <c r="F468" s="146"/>
      <c r="G468" s="146"/>
    </row>
    <row r="469" spans="2:7" x14ac:dyDescent="0.25">
      <c r="B469" s="146"/>
      <c r="C469" s="146"/>
      <c r="D469" s="146"/>
      <c r="E469" s="146"/>
      <c r="F469" s="146"/>
      <c r="G469" s="146"/>
    </row>
    <row r="470" spans="2:7" x14ac:dyDescent="0.25">
      <c r="B470" s="146"/>
      <c r="C470" s="146"/>
      <c r="D470" s="146"/>
      <c r="E470" s="146"/>
      <c r="F470" s="146"/>
      <c r="G470" s="146"/>
    </row>
    <row r="471" spans="2:7" x14ac:dyDescent="0.25">
      <c r="B471" s="146"/>
      <c r="C471" s="146"/>
      <c r="D471" s="146"/>
      <c r="E471" s="146"/>
      <c r="F471" s="146"/>
      <c r="G471" s="146"/>
    </row>
    <row r="472" spans="2:7" x14ac:dyDescent="0.25">
      <c r="B472" s="146"/>
      <c r="C472" s="146"/>
      <c r="D472" s="146"/>
      <c r="E472" s="146"/>
      <c r="F472" s="146"/>
      <c r="G472" s="146"/>
    </row>
    <row r="473" spans="2:7" x14ac:dyDescent="0.25">
      <c r="B473" s="146"/>
      <c r="C473" s="146"/>
      <c r="D473" s="146"/>
      <c r="E473" s="146"/>
      <c r="F473" s="146"/>
      <c r="G473" s="146"/>
    </row>
    <row r="474" spans="2:7" x14ac:dyDescent="0.25">
      <c r="B474" s="146"/>
      <c r="C474" s="146"/>
      <c r="D474" s="146"/>
      <c r="E474" s="146"/>
      <c r="F474" s="146"/>
      <c r="G474" s="146"/>
    </row>
    <row r="475" spans="2:7" x14ac:dyDescent="0.25">
      <c r="B475" s="146"/>
      <c r="C475" s="146"/>
      <c r="D475" s="146"/>
      <c r="E475" s="146"/>
      <c r="F475" s="146"/>
      <c r="G475" s="146"/>
    </row>
    <row r="476" spans="2:7" x14ac:dyDescent="0.25">
      <c r="B476" s="146"/>
      <c r="C476" s="146"/>
      <c r="D476" s="146"/>
      <c r="E476" s="146"/>
      <c r="F476" s="146"/>
      <c r="G476" s="146"/>
    </row>
    <row r="477" spans="2:7" x14ac:dyDescent="0.25">
      <c r="B477" s="146"/>
      <c r="C477" s="146"/>
      <c r="D477" s="146"/>
      <c r="E477" s="146"/>
      <c r="F477" s="146"/>
      <c r="G477" s="146"/>
    </row>
    <row r="478" spans="2:7" x14ac:dyDescent="0.25">
      <c r="B478" s="146"/>
      <c r="C478" s="146"/>
      <c r="D478" s="146"/>
      <c r="E478" s="146"/>
      <c r="F478" s="146"/>
      <c r="G478" s="146"/>
    </row>
    <row r="479" spans="2:7" x14ac:dyDescent="0.25">
      <c r="B479" s="146"/>
      <c r="C479" s="146"/>
      <c r="D479" s="146"/>
      <c r="E479" s="146"/>
      <c r="F479" s="146"/>
      <c r="G479" s="146"/>
    </row>
    <row r="480" spans="2:7" x14ac:dyDescent="0.25">
      <c r="B480" s="146"/>
      <c r="C480" s="146"/>
      <c r="D480" s="146"/>
      <c r="E480" s="146"/>
      <c r="F480" s="146"/>
      <c r="G480" s="146"/>
    </row>
    <row r="481" spans="2:7" x14ac:dyDescent="0.25">
      <c r="B481" s="146"/>
      <c r="C481" s="146"/>
      <c r="D481" s="146"/>
      <c r="E481" s="146"/>
      <c r="F481" s="146"/>
      <c r="G481" s="146"/>
    </row>
    <row r="482" spans="2:7" x14ac:dyDescent="0.25">
      <c r="B482" s="146"/>
      <c r="C482" s="146"/>
      <c r="D482" s="146"/>
      <c r="E482" s="146"/>
      <c r="F482" s="146"/>
      <c r="G482" s="146"/>
    </row>
    <row r="483" spans="2:7" x14ac:dyDescent="0.25">
      <c r="B483" s="146"/>
      <c r="C483" s="146"/>
      <c r="D483" s="146"/>
      <c r="E483" s="146"/>
      <c r="F483" s="146"/>
      <c r="G483" s="146"/>
    </row>
    <row r="484" spans="2:7" x14ac:dyDescent="0.25">
      <c r="B484" s="146"/>
      <c r="C484" s="146"/>
      <c r="D484" s="146"/>
      <c r="E484" s="146"/>
      <c r="F484" s="146"/>
      <c r="G484" s="146"/>
    </row>
    <row r="485" spans="2:7" x14ac:dyDescent="0.25">
      <c r="B485" s="146"/>
      <c r="C485" s="146"/>
      <c r="D485" s="146"/>
      <c r="E485" s="146"/>
      <c r="F485" s="146"/>
      <c r="G485" s="146"/>
    </row>
    <row r="486" spans="2:7" x14ac:dyDescent="0.25">
      <c r="B486" s="146"/>
      <c r="C486" s="146"/>
      <c r="D486" s="146"/>
      <c r="E486" s="146"/>
      <c r="F486" s="146"/>
      <c r="G486" s="146"/>
    </row>
    <row r="487" spans="2:7" x14ac:dyDescent="0.25">
      <c r="B487" s="146"/>
      <c r="C487" s="146"/>
      <c r="D487" s="146"/>
      <c r="E487" s="146"/>
      <c r="F487" s="146"/>
      <c r="G487" s="146"/>
    </row>
    <row r="488" spans="2:7" x14ac:dyDescent="0.25">
      <c r="B488" s="146"/>
      <c r="C488" s="146"/>
      <c r="D488" s="146"/>
      <c r="E488" s="146"/>
      <c r="F488" s="146"/>
      <c r="G488" s="146"/>
    </row>
    <row r="489" spans="2:7" x14ac:dyDescent="0.25">
      <c r="B489" s="146"/>
      <c r="C489" s="146"/>
      <c r="D489" s="146"/>
      <c r="E489" s="146"/>
      <c r="F489" s="146"/>
      <c r="G489" s="146"/>
    </row>
    <row r="490" spans="2:7" x14ac:dyDescent="0.25">
      <c r="B490" s="146"/>
      <c r="C490" s="146"/>
      <c r="D490" s="146"/>
      <c r="E490" s="146"/>
      <c r="F490" s="146"/>
      <c r="G490" s="146"/>
    </row>
    <row r="491" spans="2:7" x14ac:dyDescent="0.25">
      <c r="B491" s="146"/>
      <c r="C491" s="146"/>
      <c r="D491" s="146"/>
      <c r="E491" s="146"/>
      <c r="F491" s="146"/>
      <c r="G491" s="146"/>
    </row>
    <row r="492" spans="2:7" x14ac:dyDescent="0.25">
      <c r="B492" s="146"/>
      <c r="C492" s="146"/>
      <c r="D492" s="146"/>
      <c r="E492" s="146"/>
      <c r="F492" s="146"/>
      <c r="G492" s="146"/>
    </row>
    <row r="493" spans="2:7" x14ac:dyDescent="0.25">
      <c r="B493" s="146"/>
      <c r="C493" s="146"/>
      <c r="D493" s="146"/>
      <c r="E493" s="146"/>
      <c r="F493" s="146"/>
      <c r="G493" s="146"/>
    </row>
    <row r="494" spans="2:7" x14ac:dyDescent="0.25">
      <c r="B494" s="146"/>
      <c r="C494" s="146"/>
      <c r="D494" s="146"/>
      <c r="E494" s="146"/>
      <c r="F494" s="146"/>
      <c r="G494" s="146"/>
    </row>
    <row r="495" spans="2:7" x14ac:dyDescent="0.25">
      <c r="B495" s="146"/>
      <c r="C495" s="146"/>
      <c r="D495" s="146"/>
      <c r="E495" s="146"/>
      <c r="F495" s="146"/>
      <c r="G495" s="146"/>
    </row>
    <row r="496" spans="2:7" x14ac:dyDescent="0.25">
      <c r="B496" s="146"/>
      <c r="C496" s="146"/>
      <c r="D496" s="146"/>
      <c r="E496" s="146"/>
      <c r="F496" s="146"/>
      <c r="G496" s="146"/>
    </row>
    <row r="497" spans="2:7" x14ac:dyDescent="0.25">
      <c r="B497" s="146"/>
      <c r="C497" s="146"/>
      <c r="D497" s="146"/>
      <c r="E497" s="146"/>
      <c r="F497" s="146"/>
      <c r="G497" s="146"/>
    </row>
    <row r="498" spans="2:7" x14ac:dyDescent="0.25">
      <c r="B498" s="146"/>
      <c r="C498" s="146"/>
      <c r="D498" s="146"/>
      <c r="E498" s="146"/>
      <c r="F498" s="146"/>
      <c r="G498" s="146"/>
    </row>
    <row r="499" spans="2:7" x14ac:dyDescent="0.25">
      <c r="B499" s="146"/>
      <c r="C499" s="146"/>
      <c r="D499" s="146"/>
      <c r="E499" s="146"/>
      <c r="F499" s="146"/>
      <c r="G499" s="146"/>
    </row>
    <row r="500" spans="2:7" x14ac:dyDescent="0.25">
      <c r="B500" s="146"/>
      <c r="C500" s="146"/>
      <c r="D500" s="146"/>
      <c r="E500" s="146"/>
      <c r="F500" s="146"/>
      <c r="G500" s="146"/>
    </row>
    <row r="501" spans="2:7" x14ac:dyDescent="0.25">
      <c r="B501" s="146"/>
      <c r="C501" s="146"/>
      <c r="D501" s="146"/>
      <c r="E501" s="146"/>
      <c r="F501" s="146"/>
      <c r="G501" s="146"/>
    </row>
    <row r="502" spans="2:7" x14ac:dyDescent="0.25">
      <c r="B502" s="146"/>
      <c r="C502" s="146"/>
      <c r="D502" s="146"/>
      <c r="E502" s="146"/>
      <c r="F502" s="146"/>
      <c r="G502" s="146"/>
    </row>
    <row r="503" spans="2:7" x14ac:dyDescent="0.25">
      <c r="B503" s="146"/>
      <c r="C503" s="146"/>
      <c r="D503" s="146"/>
      <c r="E503" s="146"/>
      <c r="F503" s="146"/>
      <c r="G503" s="146"/>
    </row>
    <row r="504" spans="2:7" x14ac:dyDescent="0.25">
      <c r="B504" s="146"/>
      <c r="C504" s="146"/>
      <c r="D504" s="146"/>
      <c r="E504" s="146"/>
      <c r="F504" s="146"/>
      <c r="G504" s="146"/>
    </row>
    <row r="505" spans="2:7" x14ac:dyDescent="0.25">
      <c r="B505" s="146"/>
      <c r="C505" s="146"/>
      <c r="D505" s="146"/>
      <c r="E505" s="146"/>
      <c r="F505" s="146"/>
      <c r="G505" s="146"/>
    </row>
    <row r="506" spans="2:7" x14ac:dyDescent="0.25">
      <c r="B506" s="146"/>
      <c r="C506" s="146"/>
      <c r="D506" s="146"/>
      <c r="E506" s="146"/>
      <c r="F506" s="146"/>
      <c r="G506" s="146"/>
    </row>
    <row r="507" spans="2:7" x14ac:dyDescent="0.25">
      <c r="B507" s="146"/>
      <c r="C507" s="146"/>
      <c r="D507" s="146"/>
      <c r="E507" s="146"/>
      <c r="F507" s="146"/>
      <c r="G507" s="146"/>
    </row>
    <row r="508" spans="2:7" x14ac:dyDescent="0.25">
      <c r="B508" s="146"/>
      <c r="C508" s="146"/>
      <c r="D508" s="146"/>
      <c r="E508" s="146"/>
      <c r="F508" s="146"/>
      <c r="G508" s="146"/>
    </row>
    <row r="509" spans="2:7" x14ac:dyDescent="0.25">
      <c r="B509" s="146"/>
      <c r="C509" s="146"/>
      <c r="D509" s="146"/>
      <c r="E509" s="146"/>
      <c r="F509" s="146"/>
      <c r="G509" s="146"/>
    </row>
    <row r="510" spans="2:7" x14ac:dyDescent="0.25">
      <c r="B510" s="146"/>
      <c r="C510" s="146"/>
      <c r="D510" s="146"/>
      <c r="E510" s="146"/>
      <c r="F510" s="146"/>
      <c r="G510" s="146"/>
    </row>
    <row r="511" spans="2:7" x14ac:dyDescent="0.25">
      <c r="B511" s="146"/>
      <c r="C511" s="146"/>
      <c r="D511" s="146"/>
      <c r="E511" s="146"/>
      <c r="F511" s="146"/>
      <c r="G511" s="146"/>
    </row>
    <row r="512" spans="2:7" x14ac:dyDescent="0.25">
      <c r="B512" s="146"/>
      <c r="C512" s="146"/>
      <c r="D512" s="146"/>
      <c r="E512" s="146"/>
      <c r="F512" s="146"/>
      <c r="G512" s="146"/>
    </row>
    <row r="513" spans="2:7" x14ac:dyDescent="0.25">
      <c r="B513" s="146"/>
      <c r="C513" s="146"/>
      <c r="D513" s="146"/>
      <c r="E513" s="146"/>
      <c r="F513" s="146"/>
      <c r="G513" s="146"/>
    </row>
    <row r="514" spans="2:7" x14ac:dyDescent="0.25">
      <c r="B514" s="146"/>
      <c r="C514" s="146"/>
      <c r="D514" s="146"/>
      <c r="E514" s="146"/>
      <c r="F514" s="146"/>
      <c r="G514" s="146"/>
    </row>
    <row r="515" spans="2:7" x14ac:dyDescent="0.25">
      <c r="B515" s="146"/>
      <c r="C515" s="146"/>
      <c r="D515" s="146"/>
      <c r="E515" s="146"/>
      <c r="F515" s="146"/>
      <c r="G515" s="146"/>
    </row>
    <row r="516" spans="2:7" x14ac:dyDescent="0.25">
      <c r="B516" s="146"/>
      <c r="C516" s="146"/>
      <c r="D516" s="146"/>
      <c r="E516" s="146"/>
      <c r="F516" s="146"/>
      <c r="G516" s="146"/>
    </row>
    <row r="517" spans="2:7" x14ac:dyDescent="0.25">
      <c r="B517" s="146"/>
      <c r="C517" s="146"/>
      <c r="D517" s="146"/>
      <c r="E517" s="146"/>
      <c r="F517" s="146"/>
      <c r="G517" s="146"/>
    </row>
    <row r="518" spans="2:7" x14ac:dyDescent="0.25">
      <c r="B518" s="146"/>
      <c r="C518" s="146"/>
      <c r="D518" s="146"/>
      <c r="E518" s="146"/>
      <c r="F518" s="146"/>
      <c r="G518" s="146"/>
    </row>
    <row r="519" spans="2:7" x14ac:dyDescent="0.25">
      <c r="B519" s="146"/>
      <c r="C519" s="146"/>
      <c r="D519" s="146"/>
      <c r="E519" s="146"/>
      <c r="F519" s="146"/>
      <c r="G519" s="146"/>
    </row>
    <row r="520" spans="2:7" x14ac:dyDescent="0.25">
      <c r="B520" s="146"/>
      <c r="C520" s="146"/>
      <c r="D520" s="146"/>
      <c r="E520" s="146"/>
      <c r="F520" s="146"/>
      <c r="G520" s="146"/>
    </row>
    <row r="521" spans="2:7" x14ac:dyDescent="0.25">
      <c r="B521" s="146"/>
      <c r="C521" s="146"/>
      <c r="D521" s="146"/>
      <c r="E521" s="146"/>
      <c r="F521" s="146"/>
      <c r="G521" s="146"/>
    </row>
    <row r="522" spans="2:7" x14ac:dyDescent="0.25">
      <c r="B522" s="146"/>
      <c r="C522" s="146"/>
      <c r="D522" s="146"/>
      <c r="E522" s="146"/>
      <c r="F522" s="146"/>
      <c r="G522" s="146"/>
    </row>
    <row r="523" spans="2:7" x14ac:dyDescent="0.25">
      <c r="B523" s="146"/>
      <c r="C523" s="146"/>
      <c r="D523" s="146"/>
      <c r="E523" s="146"/>
      <c r="F523" s="146"/>
      <c r="G523" s="146"/>
    </row>
    <row r="524" spans="2:7" x14ac:dyDescent="0.25">
      <c r="B524" s="146"/>
      <c r="C524" s="146"/>
      <c r="D524" s="146"/>
      <c r="E524" s="146"/>
      <c r="F524" s="146"/>
      <c r="G524" s="146"/>
    </row>
    <row r="525" spans="2:7" x14ac:dyDescent="0.25">
      <c r="B525" s="146"/>
      <c r="C525" s="146"/>
      <c r="D525" s="146"/>
      <c r="E525" s="146"/>
      <c r="F525" s="146"/>
      <c r="G525" s="146"/>
    </row>
    <row r="526" spans="2:7" x14ac:dyDescent="0.25">
      <c r="B526" s="146"/>
      <c r="C526" s="146"/>
      <c r="D526" s="146"/>
      <c r="E526" s="146"/>
      <c r="F526" s="146"/>
      <c r="G526" s="146"/>
    </row>
    <row r="527" spans="2:7" x14ac:dyDescent="0.25">
      <c r="B527" s="146"/>
      <c r="C527" s="146"/>
      <c r="D527" s="146"/>
      <c r="E527" s="146"/>
      <c r="F527" s="146"/>
      <c r="G527" s="146"/>
    </row>
    <row r="528" spans="2:7" x14ac:dyDescent="0.25">
      <c r="B528" s="146"/>
      <c r="C528" s="146"/>
      <c r="D528" s="146"/>
      <c r="E528" s="146"/>
      <c r="F528" s="146"/>
      <c r="G528" s="146"/>
    </row>
    <row r="529" spans="2:7" x14ac:dyDescent="0.25">
      <c r="B529" s="146"/>
      <c r="C529" s="146"/>
      <c r="D529" s="146"/>
      <c r="E529" s="146"/>
      <c r="F529" s="146"/>
      <c r="G529" s="146"/>
    </row>
    <row r="530" spans="2:7" x14ac:dyDescent="0.25">
      <c r="B530" s="146"/>
      <c r="C530" s="146"/>
      <c r="D530" s="146"/>
      <c r="E530" s="146"/>
      <c r="F530" s="146"/>
      <c r="G530" s="146"/>
    </row>
    <row r="531" spans="2:7" x14ac:dyDescent="0.25">
      <c r="B531" s="146"/>
      <c r="C531" s="146"/>
      <c r="D531" s="146"/>
      <c r="E531" s="146"/>
      <c r="F531" s="146"/>
      <c r="G531" s="146"/>
    </row>
    <row r="532" spans="2:7" x14ac:dyDescent="0.25">
      <c r="B532" s="146"/>
      <c r="C532" s="146"/>
      <c r="D532" s="146"/>
      <c r="E532" s="146"/>
      <c r="F532" s="146"/>
      <c r="G532" s="146"/>
    </row>
    <row r="533" spans="2:7" x14ac:dyDescent="0.25">
      <c r="B533" s="146"/>
      <c r="C533" s="146"/>
      <c r="D533" s="146"/>
      <c r="E533" s="146"/>
      <c r="F533" s="146"/>
      <c r="G533" s="146"/>
    </row>
    <row r="534" spans="2:7" x14ac:dyDescent="0.25">
      <c r="B534" s="146"/>
      <c r="C534" s="146"/>
      <c r="D534" s="146"/>
      <c r="E534" s="146"/>
      <c r="F534" s="146"/>
      <c r="G534" s="146"/>
    </row>
    <row r="535" spans="2:7" x14ac:dyDescent="0.25">
      <c r="B535" s="146"/>
      <c r="C535" s="146"/>
      <c r="D535" s="146"/>
      <c r="E535" s="146"/>
      <c r="F535" s="146"/>
      <c r="G535" s="146"/>
    </row>
    <row r="536" spans="2:7" x14ac:dyDescent="0.25">
      <c r="B536" s="146"/>
      <c r="C536" s="146"/>
      <c r="D536" s="146"/>
      <c r="E536" s="146"/>
      <c r="F536" s="146"/>
      <c r="G536" s="146"/>
    </row>
    <row r="537" spans="2:7" x14ac:dyDescent="0.25">
      <c r="B537" s="146"/>
      <c r="C537" s="146"/>
      <c r="D537" s="146"/>
      <c r="E537" s="146"/>
      <c r="F537" s="146"/>
      <c r="G537" s="146"/>
    </row>
    <row r="538" spans="2:7" x14ac:dyDescent="0.25">
      <c r="B538" s="146"/>
      <c r="C538" s="146"/>
      <c r="D538" s="146"/>
      <c r="E538" s="146"/>
      <c r="F538" s="146"/>
      <c r="G538" s="146"/>
    </row>
    <row r="539" spans="2:7" x14ac:dyDescent="0.25">
      <c r="B539" s="146"/>
      <c r="C539" s="146"/>
      <c r="D539" s="146"/>
      <c r="E539" s="146"/>
      <c r="F539" s="146"/>
      <c r="G539" s="146"/>
    </row>
    <row r="540" spans="2:7" x14ac:dyDescent="0.25">
      <c r="B540" s="146"/>
      <c r="C540" s="146"/>
      <c r="D540" s="146"/>
      <c r="E540" s="146"/>
      <c r="F540" s="146"/>
      <c r="G540" s="146"/>
    </row>
    <row r="541" spans="2:7" x14ac:dyDescent="0.25">
      <c r="B541" s="146"/>
      <c r="C541" s="146"/>
      <c r="D541" s="146"/>
      <c r="E541" s="146"/>
      <c r="F541" s="146"/>
      <c r="G541" s="146"/>
    </row>
    <row r="542" spans="2:7" x14ac:dyDescent="0.25">
      <c r="B542" s="146"/>
      <c r="C542" s="146"/>
      <c r="D542" s="146"/>
      <c r="E542" s="146"/>
      <c r="F542" s="146"/>
      <c r="G542" s="146"/>
    </row>
    <row r="543" spans="2:7" x14ac:dyDescent="0.25">
      <c r="B543" s="146"/>
      <c r="C543" s="146"/>
      <c r="D543" s="146"/>
      <c r="E543" s="146"/>
      <c r="F543" s="146"/>
      <c r="G543" s="146"/>
    </row>
    <row r="544" spans="2:7" x14ac:dyDescent="0.25">
      <c r="B544" s="146"/>
      <c r="C544" s="146"/>
      <c r="D544" s="146"/>
      <c r="E544" s="146"/>
      <c r="F544" s="146"/>
      <c r="G544" s="146"/>
    </row>
    <row r="545" spans="2:7" x14ac:dyDescent="0.25">
      <c r="B545" s="146"/>
      <c r="C545" s="146"/>
      <c r="D545" s="146"/>
      <c r="E545" s="146"/>
      <c r="F545" s="146"/>
      <c r="G545" s="146"/>
    </row>
    <row r="546" spans="2:7" x14ac:dyDescent="0.25">
      <c r="B546" s="146"/>
      <c r="C546" s="146"/>
      <c r="D546" s="146"/>
      <c r="E546" s="146"/>
      <c r="F546" s="146"/>
      <c r="G546" s="146"/>
    </row>
    <row r="547" spans="2:7" x14ac:dyDescent="0.25">
      <c r="B547" s="146"/>
      <c r="C547" s="146"/>
      <c r="D547" s="146"/>
      <c r="E547" s="146"/>
      <c r="F547" s="146"/>
      <c r="G547" s="146"/>
    </row>
    <row r="548" spans="2:7" x14ac:dyDescent="0.25">
      <c r="B548" s="146"/>
      <c r="C548" s="146"/>
      <c r="D548" s="146"/>
      <c r="E548" s="146"/>
      <c r="F548" s="146"/>
      <c r="G548" s="146"/>
    </row>
    <row r="549" spans="2:7" x14ac:dyDescent="0.25">
      <c r="B549" s="146"/>
      <c r="C549" s="146"/>
      <c r="D549" s="146"/>
      <c r="E549" s="146"/>
      <c r="F549" s="146"/>
      <c r="G549" s="146"/>
    </row>
    <row r="550" spans="2:7" x14ac:dyDescent="0.25">
      <c r="B550" s="146"/>
      <c r="C550" s="146"/>
      <c r="D550" s="146"/>
      <c r="E550" s="146"/>
      <c r="F550" s="146"/>
      <c r="G550" s="146"/>
    </row>
    <row r="551" spans="2:7" x14ac:dyDescent="0.25">
      <c r="B551" s="146"/>
      <c r="C551" s="146"/>
      <c r="D551" s="146"/>
      <c r="E551" s="146"/>
      <c r="F551" s="146"/>
      <c r="G551" s="146"/>
    </row>
    <row r="552" spans="2:7" x14ac:dyDescent="0.25">
      <c r="B552" s="146"/>
      <c r="C552" s="146"/>
      <c r="D552" s="146"/>
      <c r="E552" s="146"/>
      <c r="F552" s="146"/>
      <c r="G552" s="146"/>
    </row>
    <row r="553" spans="2:7" x14ac:dyDescent="0.25">
      <c r="B553" s="146"/>
      <c r="C553" s="146"/>
      <c r="D553" s="146"/>
      <c r="E553" s="146"/>
      <c r="F553" s="146"/>
      <c r="G553" s="146"/>
    </row>
    <row r="554" spans="2:7" x14ac:dyDescent="0.25">
      <c r="B554" s="146"/>
      <c r="C554" s="146"/>
      <c r="D554" s="146"/>
      <c r="E554" s="146"/>
      <c r="F554" s="146"/>
      <c r="G554" s="146"/>
    </row>
    <row r="555" spans="2:7" x14ac:dyDescent="0.25">
      <c r="B555" s="146"/>
      <c r="C555" s="146"/>
      <c r="D555" s="146"/>
      <c r="E555" s="146"/>
      <c r="F555" s="146"/>
      <c r="G555" s="146"/>
    </row>
    <row r="556" spans="2:7" x14ac:dyDescent="0.25">
      <c r="B556" s="146"/>
      <c r="C556" s="146"/>
      <c r="D556" s="146"/>
      <c r="E556" s="146"/>
      <c r="F556" s="146"/>
      <c r="G556" s="146"/>
    </row>
    <row r="557" spans="2:7" x14ac:dyDescent="0.25">
      <c r="B557" s="146"/>
      <c r="C557" s="146"/>
      <c r="D557" s="146"/>
      <c r="E557" s="146"/>
      <c r="F557" s="146"/>
      <c r="G557" s="146"/>
    </row>
    <row r="558" spans="2:7" x14ac:dyDescent="0.25">
      <c r="B558" s="146"/>
      <c r="C558" s="146"/>
      <c r="D558" s="146"/>
      <c r="E558" s="146"/>
      <c r="F558" s="146"/>
      <c r="G558" s="146"/>
    </row>
    <row r="559" spans="2:7" x14ac:dyDescent="0.25">
      <c r="B559" s="146"/>
      <c r="C559" s="146"/>
      <c r="D559" s="146"/>
      <c r="E559" s="146"/>
      <c r="F559" s="146"/>
      <c r="G559" s="146"/>
    </row>
    <row r="560" spans="2:7" x14ac:dyDescent="0.25">
      <c r="B560" s="146"/>
      <c r="C560" s="146"/>
      <c r="D560" s="146"/>
      <c r="E560" s="146"/>
      <c r="F560" s="146"/>
      <c r="G560" s="146"/>
    </row>
    <row r="561" spans="2:7" x14ac:dyDescent="0.25">
      <c r="B561" s="146"/>
      <c r="C561" s="146"/>
      <c r="D561" s="146"/>
      <c r="E561" s="146"/>
      <c r="F561" s="146"/>
      <c r="G561" s="146"/>
    </row>
    <row r="562" spans="2:7" x14ac:dyDescent="0.25">
      <c r="B562" s="146"/>
      <c r="C562" s="146"/>
      <c r="D562" s="146"/>
      <c r="E562" s="146"/>
      <c r="F562" s="146"/>
      <c r="G562" s="146"/>
    </row>
    <row r="563" spans="2:7" x14ac:dyDescent="0.25">
      <c r="B563" s="146"/>
      <c r="C563" s="146"/>
      <c r="D563" s="146"/>
      <c r="E563" s="146"/>
      <c r="F563" s="146"/>
      <c r="G563" s="146"/>
    </row>
    <row r="564" spans="2:7" x14ac:dyDescent="0.25">
      <c r="B564" s="146"/>
      <c r="C564" s="146"/>
      <c r="D564" s="146"/>
      <c r="E564" s="146"/>
      <c r="F564" s="146"/>
      <c r="G564" s="146"/>
    </row>
    <row r="565" spans="2:7" x14ac:dyDescent="0.25">
      <c r="B565" s="146"/>
      <c r="C565" s="146"/>
      <c r="D565" s="146"/>
      <c r="E565" s="146"/>
      <c r="F565" s="146"/>
      <c r="G565" s="146"/>
    </row>
    <row r="566" spans="2:7" x14ac:dyDescent="0.25">
      <c r="B566" s="146"/>
      <c r="C566" s="146"/>
      <c r="D566" s="146"/>
      <c r="E566" s="146"/>
      <c r="F566" s="146"/>
      <c r="G566" s="146"/>
    </row>
    <row r="567" spans="2:7" x14ac:dyDescent="0.25">
      <c r="B567" s="146"/>
      <c r="C567" s="146"/>
      <c r="D567" s="146"/>
      <c r="E567" s="146"/>
      <c r="F567" s="146"/>
      <c r="G567" s="146"/>
    </row>
    <row r="568" spans="2:7" x14ac:dyDescent="0.25">
      <c r="B568" s="146"/>
      <c r="C568" s="146"/>
      <c r="D568" s="146"/>
      <c r="E568" s="146"/>
      <c r="F568" s="146"/>
      <c r="G568" s="146"/>
    </row>
    <row r="569" spans="2:7" x14ac:dyDescent="0.25">
      <c r="B569" s="146"/>
      <c r="C569" s="146"/>
      <c r="D569" s="146"/>
      <c r="E569" s="146"/>
      <c r="F569" s="146"/>
      <c r="G569" s="146"/>
    </row>
    <row r="570" spans="2:7" x14ac:dyDescent="0.25">
      <c r="B570" s="146"/>
      <c r="C570" s="146"/>
      <c r="D570" s="146"/>
      <c r="E570" s="146"/>
      <c r="F570" s="146"/>
      <c r="G570" s="146"/>
    </row>
    <row r="571" spans="2:7" x14ac:dyDescent="0.25">
      <c r="B571" s="146"/>
      <c r="C571" s="146"/>
      <c r="D571" s="146"/>
      <c r="E571" s="146"/>
      <c r="F571" s="146"/>
      <c r="G571" s="146"/>
    </row>
    <row r="572" spans="2:7" x14ac:dyDescent="0.25">
      <c r="B572" s="146"/>
      <c r="C572" s="146"/>
      <c r="D572" s="146"/>
      <c r="E572" s="146"/>
      <c r="F572" s="146"/>
      <c r="G572" s="146"/>
    </row>
    <row r="573" spans="2:7" x14ac:dyDescent="0.25">
      <c r="B573" s="146"/>
      <c r="C573" s="146"/>
      <c r="D573" s="146"/>
      <c r="E573" s="146"/>
      <c r="F573" s="146"/>
      <c r="G573" s="146"/>
    </row>
    <row r="574" spans="2:7" x14ac:dyDescent="0.25">
      <c r="B574" s="146"/>
      <c r="C574" s="146"/>
      <c r="D574" s="146"/>
      <c r="E574" s="146"/>
      <c r="F574" s="146"/>
      <c r="G574" s="146"/>
    </row>
    <row r="575" spans="2:7" x14ac:dyDescent="0.25">
      <c r="B575" s="146"/>
      <c r="C575" s="146"/>
      <c r="D575" s="146"/>
      <c r="E575" s="146"/>
      <c r="F575" s="146"/>
      <c r="G575" s="146"/>
    </row>
    <row r="576" spans="2:7" x14ac:dyDescent="0.25">
      <c r="B576" s="146"/>
      <c r="C576" s="146"/>
      <c r="D576" s="146"/>
      <c r="E576" s="146"/>
      <c r="F576" s="146"/>
      <c r="G576" s="146"/>
    </row>
    <row r="577" spans="2:7" x14ac:dyDescent="0.25">
      <c r="B577" s="146"/>
      <c r="C577" s="146"/>
      <c r="D577" s="146"/>
      <c r="E577" s="146"/>
      <c r="F577" s="146"/>
      <c r="G577" s="146"/>
    </row>
    <row r="578" spans="2:7" x14ac:dyDescent="0.25">
      <c r="B578" s="146"/>
      <c r="C578" s="146"/>
      <c r="D578" s="146"/>
      <c r="E578" s="146"/>
      <c r="F578" s="146"/>
      <c r="G578" s="146"/>
    </row>
    <row r="579" spans="2:7" x14ac:dyDescent="0.25">
      <c r="B579" s="146"/>
      <c r="C579" s="146"/>
      <c r="D579" s="146"/>
      <c r="E579" s="146"/>
      <c r="F579" s="146"/>
      <c r="G579" s="146"/>
    </row>
    <row r="580" spans="2:7" x14ac:dyDescent="0.25">
      <c r="B580" s="146"/>
      <c r="C580" s="146"/>
      <c r="D580" s="146"/>
      <c r="E580" s="146"/>
      <c r="F580" s="146"/>
      <c r="G580" s="146"/>
    </row>
    <row r="581" spans="2:7" x14ac:dyDescent="0.25">
      <c r="B581" s="146"/>
      <c r="C581" s="146"/>
      <c r="D581" s="146"/>
      <c r="E581" s="146"/>
      <c r="F581" s="146"/>
      <c r="G581" s="146"/>
    </row>
    <row r="582" spans="2:7" x14ac:dyDescent="0.25">
      <c r="B582" s="146"/>
      <c r="C582" s="146"/>
      <c r="D582" s="146"/>
      <c r="E582" s="146"/>
      <c r="F582" s="146"/>
      <c r="G582" s="146"/>
    </row>
    <row r="583" spans="2:7" x14ac:dyDescent="0.25">
      <c r="B583" s="146"/>
      <c r="C583" s="146"/>
      <c r="D583" s="146"/>
      <c r="E583" s="146"/>
      <c r="F583" s="146"/>
      <c r="G583" s="146"/>
    </row>
    <row r="584" spans="2:7" x14ac:dyDescent="0.25">
      <c r="B584" s="146"/>
      <c r="C584" s="146"/>
      <c r="D584" s="146"/>
      <c r="E584" s="146"/>
      <c r="F584" s="146"/>
      <c r="G584" s="146"/>
    </row>
    <row r="585" spans="2:7" x14ac:dyDescent="0.25">
      <c r="B585" s="146"/>
      <c r="C585" s="146"/>
      <c r="D585" s="146"/>
      <c r="E585" s="146"/>
      <c r="F585" s="146"/>
      <c r="G585" s="146"/>
    </row>
    <row r="586" spans="2:7" x14ac:dyDescent="0.25">
      <c r="B586" s="146"/>
      <c r="C586" s="146"/>
      <c r="D586" s="146"/>
      <c r="E586" s="146"/>
      <c r="F586" s="146"/>
      <c r="G586" s="146"/>
    </row>
    <row r="587" spans="2:7" x14ac:dyDescent="0.25">
      <c r="B587" s="146"/>
      <c r="C587" s="146"/>
      <c r="D587" s="146"/>
      <c r="E587" s="146"/>
      <c r="F587" s="146"/>
      <c r="G587" s="146"/>
    </row>
    <row r="588" spans="2:7" x14ac:dyDescent="0.25">
      <c r="B588" s="146"/>
      <c r="C588" s="146"/>
      <c r="D588" s="146"/>
      <c r="E588" s="146"/>
      <c r="F588" s="146"/>
      <c r="G588" s="146"/>
    </row>
    <row r="589" spans="2:7" x14ac:dyDescent="0.25">
      <c r="B589" s="146"/>
      <c r="C589" s="146"/>
      <c r="D589" s="146"/>
      <c r="E589" s="146"/>
      <c r="F589" s="146"/>
      <c r="G589" s="146"/>
    </row>
    <row r="590" spans="2:7" x14ac:dyDescent="0.25">
      <c r="B590" s="146"/>
      <c r="C590" s="146"/>
      <c r="D590" s="146"/>
      <c r="E590" s="146"/>
      <c r="F590" s="146"/>
      <c r="G590" s="146"/>
    </row>
    <row r="591" spans="2:7" x14ac:dyDescent="0.25">
      <c r="B591" s="146"/>
      <c r="C591" s="146"/>
      <c r="D591" s="146"/>
      <c r="E591" s="146"/>
      <c r="F591" s="146"/>
      <c r="G591" s="146"/>
    </row>
    <row r="592" spans="2:7" x14ac:dyDescent="0.25">
      <c r="B592" s="146"/>
      <c r="C592" s="146"/>
      <c r="D592" s="146"/>
      <c r="E592" s="146"/>
      <c r="F592" s="146"/>
      <c r="G592" s="146"/>
    </row>
    <row r="593" spans="2:7" x14ac:dyDescent="0.25">
      <c r="B593" s="146"/>
      <c r="C593" s="146"/>
      <c r="D593" s="146"/>
      <c r="E593" s="146"/>
      <c r="F593" s="146"/>
      <c r="G593" s="146"/>
    </row>
    <row r="594" spans="2:7" x14ac:dyDescent="0.25">
      <c r="B594" s="146"/>
      <c r="C594" s="146"/>
      <c r="D594" s="146"/>
      <c r="E594" s="146"/>
      <c r="F594" s="146"/>
      <c r="G594" s="146"/>
    </row>
    <row r="595" spans="2:7" x14ac:dyDescent="0.25">
      <c r="B595" s="146"/>
      <c r="C595" s="146"/>
      <c r="D595" s="146"/>
      <c r="E595" s="146"/>
      <c r="F595" s="146"/>
      <c r="G595" s="146"/>
    </row>
    <row r="596" spans="2:7" x14ac:dyDescent="0.25">
      <c r="B596" s="146"/>
      <c r="C596" s="146"/>
      <c r="D596" s="146"/>
      <c r="E596" s="146"/>
      <c r="F596" s="146"/>
      <c r="G596" s="146"/>
    </row>
    <row r="597" spans="2:7" x14ac:dyDescent="0.25">
      <c r="B597" s="146"/>
      <c r="C597" s="146"/>
      <c r="D597" s="146"/>
      <c r="E597" s="146"/>
      <c r="F597" s="146"/>
      <c r="G597" s="146"/>
    </row>
    <row r="598" spans="2:7" x14ac:dyDescent="0.25">
      <c r="B598" s="146"/>
      <c r="C598" s="146"/>
      <c r="D598" s="146"/>
      <c r="E598" s="146"/>
      <c r="F598" s="146"/>
      <c r="G598" s="146"/>
    </row>
    <row r="599" spans="2:7" x14ac:dyDescent="0.25">
      <c r="B599" s="146"/>
      <c r="C599" s="146"/>
      <c r="D599" s="146"/>
      <c r="E599" s="146"/>
      <c r="F599" s="146"/>
      <c r="G599" s="146"/>
    </row>
    <row r="600" spans="2:7" x14ac:dyDescent="0.25">
      <c r="B600" s="146"/>
      <c r="C600" s="146"/>
      <c r="D600" s="146"/>
      <c r="E600" s="146"/>
      <c r="F600" s="146"/>
      <c r="G600" s="146"/>
    </row>
    <row r="601" spans="2:7" x14ac:dyDescent="0.25">
      <c r="B601" s="146"/>
      <c r="C601" s="146"/>
      <c r="D601" s="146"/>
      <c r="E601" s="146"/>
      <c r="F601" s="146"/>
      <c r="G601" s="146"/>
    </row>
    <row r="602" spans="2:7" x14ac:dyDescent="0.25">
      <c r="B602" s="146"/>
      <c r="C602" s="146"/>
      <c r="D602" s="146"/>
      <c r="E602" s="146"/>
      <c r="F602" s="146"/>
      <c r="G602" s="146"/>
    </row>
    <row r="603" spans="2:7" x14ac:dyDescent="0.25">
      <c r="B603" s="146"/>
      <c r="C603" s="146"/>
      <c r="D603" s="146"/>
      <c r="E603" s="146"/>
      <c r="F603" s="146"/>
      <c r="G603" s="146"/>
    </row>
    <row r="604" spans="2:7" x14ac:dyDescent="0.25">
      <c r="B604" s="146"/>
      <c r="C604" s="146"/>
      <c r="D604" s="146"/>
      <c r="E604" s="146"/>
      <c r="F604" s="146"/>
      <c r="G604" s="146"/>
    </row>
    <row r="605" spans="2:7" x14ac:dyDescent="0.25">
      <c r="B605" s="146"/>
      <c r="C605" s="146"/>
      <c r="D605" s="146"/>
      <c r="E605" s="146"/>
      <c r="F605" s="146"/>
      <c r="G605" s="146"/>
    </row>
    <row r="606" spans="2:7" x14ac:dyDescent="0.25">
      <c r="B606" s="146"/>
      <c r="C606" s="146"/>
      <c r="D606" s="146"/>
      <c r="E606" s="146"/>
      <c r="F606" s="146"/>
      <c r="G606" s="146"/>
    </row>
    <row r="607" spans="2:7" x14ac:dyDescent="0.25">
      <c r="B607" s="146"/>
      <c r="C607" s="146"/>
      <c r="D607" s="146"/>
      <c r="E607" s="146"/>
      <c r="F607" s="146"/>
      <c r="G607" s="146"/>
    </row>
    <row r="608" spans="2:7" x14ac:dyDescent="0.25">
      <c r="B608" s="146"/>
      <c r="C608" s="146"/>
      <c r="D608" s="146"/>
      <c r="E608" s="146"/>
      <c r="F608" s="146"/>
      <c r="G608" s="146"/>
    </row>
    <row r="609" spans="2:7" x14ac:dyDescent="0.25">
      <c r="B609" s="146"/>
      <c r="C609" s="146"/>
      <c r="D609" s="146"/>
      <c r="E609" s="146"/>
      <c r="F609" s="146"/>
      <c r="G609" s="146"/>
    </row>
    <row r="610" spans="2:7" x14ac:dyDescent="0.25">
      <c r="B610" s="146"/>
      <c r="C610" s="146"/>
      <c r="D610" s="146"/>
      <c r="E610" s="146"/>
      <c r="F610" s="146"/>
      <c r="G610" s="146"/>
    </row>
    <row r="611" spans="2:7" x14ac:dyDescent="0.25">
      <c r="B611" s="146"/>
      <c r="C611" s="146"/>
      <c r="D611" s="146"/>
      <c r="E611" s="146"/>
      <c r="F611" s="146"/>
      <c r="G611" s="146"/>
    </row>
    <row r="612" spans="2:7" x14ac:dyDescent="0.25">
      <c r="B612" s="146"/>
      <c r="C612" s="146"/>
      <c r="D612" s="146"/>
      <c r="E612" s="146"/>
      <c r="F612" s="146"/>
      <c r="G612" s="146"/>
    </row>
    <row r="613" spans="2:7" x14ac:dyDescent="0.25">
      <c r="B613" s="146"/>
      <c r="C613" s="146"/>
      <c r="D613" s="146"/>
      <c r="E613" s="146"/>
      <c r="F613" s="146"/>
      <c r="G613" s="146"/>
    </row>
    <row r="614" spans="2:7" x14ac:dyDescent="0.25">
      <c r="B614" s="146"/>
      <c r="C614" s="146"/>
      <c r="D614" s="146"/>
      <c r="E614" s="146"/>
      <c r="F614" s="146"/>
      <c r="G614" s="146"/>
    </row>
    <row r="615" spans="2:7" x14ac:dyDescent="0.25">
      <c r="B615" s="146"/>
      <c r="C615" s="146"/>
      <c r="D615" s="146"/>
      <c r="E615" s="146"/>
      <c r="F615" s="146"/>
      <c r="G615" s="146"/>
    </row>
    <row r="616" spans="2:7" x14ac:dyDescent="0.25">
      <c r="B616" s="146"/>
      <c r="C616" s="146"/>
      <c r="D616" s="146"/>
      <c r="E616" s="146"/>
      <c r="F616" s="146"/>
      <c r="G616" s="146"/>
    </row>
    <row r="617" spans="2:7" x14ac:dyDescent="0.25">
      <c r="B617" s="146"/>
      <c r="C617" s="146"/>
      <c r="D617" s="146"/>
      <c r="E617" s="146"/>
      <c r="F617" s="146"/>
      <c r="G617" s="146"/>
    </row>
    <row r="618" spans="2:7" x14ac:dyDescent="0.25">
      <c r="B618" s="146"/>
      <c r="C618" s="146"/>
      <c r="D618" s="146"/>
      <c r="E618" s="146"/>
      <c r="F618" s="146"/>
      <c r="G618" s="146"/>
    </row>
    <row r="619" spans="2:7" x14ac:dyDescent="0.25">
      <c r="B619" s="146"/>
      <c r="C619" s="146"/>
      <c r="D619" s="146"/>
      <c r="E619" s="146"/>
      <c r="F619" s="146"/>
      <c r="G619" s="146"/>
    </row>
    <row r="620" spans="2:7" x14ac:dyDescent="0.25">
      <c r="B620" s="146"/>
      <c r="C620" s="146"/>
      <c r="D620" s="146"/>
      <c r="E620" s="146"/>
      <c r="F620" s="146"/>
      <c r="G620" s="146"/>
    </row>
    <row r="621" spans="2:7" x14ac:dyDescent="0.25">
      <c r="B621" s="146"/>
      <c r="C621" s="146"/>
      <c r="D621" s="146"/>
      <c r="E621" s="146"/>
      <c r="F621" s="146"/>
      <c r="G621" s="146"/>
    </row>
    <row r="622" spans="2:7" x14ac:dyDescent="0.25">
      <c r="B622" s="146"/>
      <c r="C622" s="146"/>
      <c r="D622" s="146"/>
      <c r="E622" s="146"/>
      <c r="F622" s="146"/>
      <c r="G622" s="146"/>
    </row>
    <row r="623" spans="2:7" x14ac:dyDescent="0.25">
      <c r="B623" s="146"/>
      <c r="C623" s="146"/>
      <c r="D623" s="146"/>
      <c r="E623" s="146"/>
      <c r="F623" s="146"/>
      <c r="G623" s="146"/>
    </row>
    <row r="624" spans="2:7" x14ac:dyDescent="0.25">
      <c r="B624" s="146"/>
      <c r="C624" s="146"/>
      <c r="D624" s="146"/>
      <c r="E624" s="146"/>
      <c r="F624" s="146"/>
      <c r="G624" s="146"/>
    </row>
    <row r="625" spans="2:7" x14ac:dyDescent="0.25">
      <c r="B625" s="146"/>
      <c r="C625" s="146"/>
      <c r="D625" s="146"/>
      <c r="E625" s="146"/>
      <c r="F625" s="146"/>
      <c r="G625" s="146"/>
    </row>
    <row r="626" spans="2:7" x14ac:dyDescent="0.25">
      <c r="B626" s="146"/>
      <c r="C626" s="146"/>
      <c r="D626" s="146"/>
      <c r="E626" s="146"/>
      <c r="F626" s="146"/>
      <c r="G626" s="146"/>
    </row>
    <row r="627" spans="2:7" x14ac:dyDescent="0.25">
      <c r="B627" s="146"/>
      <c r="C627" s="146"/>
      <c r="D627" s="146"/>
      <c r="E627" s="146"/>
      <c r="F627" s="146"/>
      <c r="G627" s="146"/>
    </row>
    <row r="628" spans="2:7" x14ac:dyDescent="0.25">
      <c r="B628" s="146"/>
      <c r="C628" s="146"/>
      <c r="D628" s="146"/>
      <c r="E628" s="146"/>
      <c r="F628" s="146"/>
      <c r="G628" s="146"/>
    </row>
    <row r="629" spans="2:7" x14ac:dyDescent="0.25">
      <c r="B629" s="146"/>
      <c r="C629" s="146"/>
      <c r="D629" s="146"/>
      <c r="E629" s="146"/>
      <c r="F629" s="146"/>
      <c r="G629" s="146"/>
    </row>
    <row r="630" spans="2:7" x14ac:dyDescent="0.25">
      <c r="B630" s="146"/>
      <c r="C630" s="146"/>
      <c r="D630" s="146"/>
      <c r="E630" s="146"/>
      <c r="F630" s="146"/>
      <c r="G630" s="146"/>
    </row>
    <row r="631" spans="2:7" x14ac:dyDescent="0.25">
      <c r="B631" s="146"/>
      <c r="C631" s="146"/>
      <c r="D631" s="146"/>
      <c r="E631" s="146"/>
      <c r="F631" s="146"/>
      <c r="G631" s="146"/>
    </row>
    <row r="632" spans="2:7" x14ac:dyDescent="0.25">
      <c r="B632" s="146"/>
      <c r="C632" s="146"/>
      <c r="D632" s="146"/>
      <c r="E632" s="146"/>
      <c r="F632" s="146"/>
      <c r="G632" s="146"/>
    </row>
    <row r="633" spans="2:7" x14ac:dyDescent="0.25">
      <c r="B633" s="146"/>
      <c r="C633" s="146"/>
      <c r="D633" s="146"/>
      <c r="E633" s="146"/>
      <c r="F633" s="146"/>
      <c r="G633" s="146"/>
    </row>
    <row r="634" spans="2:7" x14ac:dyDescent="0.25">
      <c r="B634" s="146"/>
      <c r="C634" s="146"/>
      <c r="D634" s="146"/>
      <c r="E634" s="146"/>
      <c r="F634" s="146"/>
      <c r="G634" s="146"/>
    </row>
    <row r="635" spans="2:7" x14ac:dyDescent="0.25">
      <c r="B635" s="146"/>
      <c r="C635" s="146"/>
      <c r="D635" s="146"/>
      <c r="E635" s="146"/>
      <c r="F635" s="146"/>
      <c r="G635" s="146"/>
    </row>
    <row r="636" spans="2:7" x14ac:dyDescent="0.25">
      <c r="B636" s="146"/>
      <c r="C636" s="146"/>
      <c r="D636" s="146"/>
      <c r="E636" s="146"/>
      <c r="F636" s="146"/>
      <c r="G636" s="146"/>
    </row>
    <row r="637" spans="2:7" x14ac:dyDescent="0.25">
      <c r="B637" s="146"/>
      <c r="C637" s="146"/>
      <c r="D637" s="146"/>
      <c r="E637" s="146"/>
      <c r="F637" s="146"/>
      <c r="G637" s="146"/>
    </row>
    <row r="638" spans="2:7" x14ac:dyDescent="0.25">
      <c r="B638" s="146"/>
      <c r="C638" s="146"/>
      <c r="D638" s="146"/>
      <c r="E638" s="146"/>
      <c r="F638" s="146"/>
      <c r="G638" s="146"/>
    </row>
    <row r="639" spans="2:7" x14ac:dyDescent="0.25">
      <c r="B639" s="146"/>
      <c r="C639" s="146"/>
      <c r="D639" s="146"/>
      <c r="E639" s="146"/>
      <c r="F639" s="146"/>
      <c r="G639" s="146"/>
    </row>
    <row r="640" spans="2:7" x14ac:dyDescent="0.25">
      <c r="B640" s="146"/>
      <c r="C640" s="146"/>
      <c r="D640" s="146"/>
      <c r="E640" s="146"/>
      <c r="F640" s="146"/>
      <c r="G640" s="146"/>
    </row>
    <row r="641" spans="2:7" x14ac:dyDescent="0.25">
      <c r="B641" s="146"/>
      <c r="C641" s="146"/>
      <c r="D641" s="146"/>
      <c r="E641" s="146"/>
      <c r="F641" s="146"/>
      <c r="G641" s="146"/>
    </row>
    <row r="642" spans="2:7" x14ac:dyDescent="0.25">
      <c r="B642" s="146"/>
      <c r="C642" s="146"/>
      <c r="D642" s="146"/>
      <c r="E642" s="146"/>
      <c r="F642" s="146"/>
      <c r="G642" s="146"/>
    </row>
    <row r="643" spans="2:7" x14ac:dyDescent="0.25">
      <c r="B643" s="146"/>
      <c r="C643" s="146"/>
      <c r="D643" s="146"/>
      <c r="E643" s="146"/>
      <c r="F643" s="146"/>
      <c r="G643" s="146"/>
    </row>
    <row r="644" spans="2:7" x14ac:dyDescent="0.25">
      <c r="B644" s="146"/>
      <c r="C644" s="146"/>
      <c r="D644" s="146"/>
      <c r="E644" s="146"/>
      <c r="F644" s="146"/>
      <c r="G644" s="146"/>
    </row>
    <row r="645" spans="2:7" x14ac:dyDescent="0.25">
      <c r="B645" s="146"/>
      <c r="C645" s="146"/>
      <c r="D645" s="146"/>
      <c r="E645" s="146"/>
      <c r="F645" s="146"/>
      <c r="G645" s="146"/>
    </row>
    <row r="646" spans="2:7" x14ac:dyDescent="0.25">
      <c r="B646" s="146"/>
      <c r="C646" s="146"/>
      <c r="D646" s="146"/>
      <c r="E646" s="146"/>
      <c r="F646" s="146"/>
      <c r="G646" s="146"/>
    </row>
    <row r="647" spans="2:7" x14ac:dyDescent="0.25">
      <c r="B647" s="146"/>
      <c r="C647" s="146"/>
      <c r="D647" s="146"/>
      <c r="E647" s="146"/>
      <c r="F647" s="146"/>
      <c r="G647" s="146"/>
    </row>
    <row r="648" spans="2:7" x14ac:dyDescent="0.25">
      <c r="B648" s="146"/>
      <c r="C648" s="146"/>
      <c r="D648" s="146"/>
      <c r="E648" s="146"/>
      <c r="F648" s="146"/>
      <c r="G648" s="146"/>
    </row>
    <row r="649" spans="2:7" x14ac:dyDescent="0.25">
      <c r="B649" s="146"/>
      <c r="C649" s="146"/>
      <c r="D649" s="146"/>
      <c r="E649" s="146"/>
      <c r="F649" s="146"/>
      <c r="G649" s="146"/>
    </row>
    <row r="650" spans="2:7" x14ac:dyDescent="0.25">
      <c r="B650" s="146"/>
      <c r="C650" s="146"/>
      <c r="D650" s="146"/>
      <c r="E650" s="146"/>
      <c r="F650" s="146"/>
      <c r="G650" s="146"/>
    </row>
    <row r="651" spans="2:7" x14ac:dyDescent="0.25">
      <c r="B651" s="146"/>
      <c r="C651" s="146"/>
      <c r="D651" s="146"/>
      <c r="E651" s="146"/>
      <c r="F651" s="146"/>
      <c r="G651" s="146"/>
    </row>
    <row r="652" spans="2:7" x14ac:dyDescent="0.25">
      <c r="B652" s="146"/>
      <c r="C652" s="146"/>
      <c r="D652" s="146"/>
      <c r="E652" s="146"/>
      <c r="F652" s="146"/>
      <c r="G652" s="146"/>
    </row>
    <row r="653" spans="2:7" x14ac:dyDescent="0.25">
      <c r="B653" s="146"/>
      <c r="C653" s="146"/>
      <c r="D653" s="146"/>
      <c r="E653" s="146"/>
      <c r="F653" s="146"/>
      <c r="G653" s="146"/>
    </row>
    <row r="654" spans="2:7" x14ac:dyDescent="0.25">
      <c r="B654" s="146"/>
      <c r="C654" s="146"/>
      <c r="D654" s="146"/>
      <c r="E654" s="146"/>
      <c r="F654" s="146"/>
      <c r="G654" s="146"/>
    </row>
    <row r="655" spans="2:7" x14ac:dyDescent="0.25">
      <c r="B655" s="146"/>
      <c r="C655" s="146"/>
      <c r="D655" s="146"/>
      <c r="E655" s="146"/>
      <c r="F655" s="146"/>
      <c r="G655" s="146"/>
    </row>
    <row r="656" spans="2:7" x14ac:dyDescent="0.25">
      <c r="B656" s="146"/>
      <c r="C656" s="146"/>
      <c r="D656" s="146"/>
      <c r="E656" s="146"/>
      <c r="F656" s="146"/>
      <c r="G656" s="146"/>
    </row>
    <row r="657" spans="2:7" x14ac:dyDescent="0.25">
      <c r="B657" s="146"/>
      <c r="C657" s="146"/>
      <c r="D657" s="146"/>
      <c r="E657" s="146"/>
      <c r="F657" s="146"/>
      <c r="G657" s="146"/>
    </row>
    <row r="658" spans="2:7" x14ac:dyDescent="0.25">
      <c r="B658" s="146"/>
      <c r="C658" s="146"/>
      <c r="D658" s="146"/>
      <c r="E658" s="146"/>
      <c r="F658" s="146"/>
      <c r="G658" s="146"/>
    </row>
    <row r="659" spans="2:7" x14ac:dyDescent="0.25">
      <c r="B659" s="146"/>
      <c r="C659" s="146"/>
      <c r="D659" s="146"/>
      <c r="E659" s="146"/>
      <c r="F659" s="146"/>
      <c r="G659" s="146"/>
    </row>
    <row r="660" spans="2:7" x14ac:dyDescent="0.25">
      <c r="B660" s="146"/>
      <c r="C660" s="146"/>
      <c r="D660" s="146"/>
      <c r="E660" s="146"/>
      <c r="F660" s="146"/>
      <c r="G660" s="146"/>
    </row>
    <row r="661" spans="2:7" x14ac:dyDescent="0.25">
      <c r="B661" s="146"/>
      <c r="C661" s="146"/>
      <c r="D661" s="146"/>
      <c r="E661" s="146"/>
      <c r="F661" s="146"/>
      <c r="G661" s="146"/>
    </row>
    <row r="662" spans="2:7" x14ac:dyDescent="0.25">
      <c r="B662" s="146"/>
      <c r="C662" s="146"/>
      <c r="D662" s="146"/>
      <c r="E662" s="146"/>
      <c r="F662" s="146"/>
      <c r="G662" s="146"/>
    </row>
    <row r="663" spans="2:7" x14ac:dyDescent="0.25">
      <c r="B663" s="146"/>
      <c r="C663" s="146"/>
      <c r="D663" s="146"/>
      <c r="E663" s="146"/>
      <c r="F663" s="146"/>
      <c r="G663" s="146"/>
    </row>
    <row r="664" spans="2:7" x14ac:dyDescent="0.25">
      <c r="B664" s="146"/>
      <c r="C664" s="146"/>
      <c r="D664" s="146"/>
      <c r="E664" s="146"/>
      <c r="F664" s="146"/>
      <c r="G664" s="146"/>
    </row>
    <row r="665" spans="2:7" x14ac:dyDescent="0.25">
      <c r="B665" s="146"/>
      <c r="C665" s="146"/>
      <c r="D665" s="146"/>
      <c r="E665" s="146"/>
      <c r="F665" s="146"/>
      <c r="G665" s="146"/>
    </row>
    <row r="666" spans="2:7" x14ac:dyDescent="0.25">
      <c r="B666" s="146"/>
      <c r="C666" s="146"/>
      <c r="D666" s="146"/>
      <c r="E666" s="146"/>
      <c r="F666" s="146"/>
      <c r="G666" s="146"/>
    </row>
    <row r="667" spans="2:7" x14ac:dyDescent="0.25">
      <c r="B667" s="146"/>
      <c r="C667" s="146"/>
      <c r="D667" s="146"/>
      <c r="E667" s="146"/>
      <c r="F667" s="146"/>
      <c r="G667" s="146"/>
    </row>
    <row r="668" spans="2:7" x14ac:dyDescent="0.25">
      <c r="B668" s="146"/>
      <c r="C668" s="146"/>
      <c r="D668" s="146"/>
      <c r="E668" s="146"/>
      <c r="F668" s="146"/>
      <c r="G668" s="146"/>
    </row>
    <row r="669" spans="2:7" x14ac:dyDescent="0.25">
      <c r="B669" s="146"/>
      <c r="C669" s="146"/>
      <c r="D669" s="146"/>
      <c r="E669" s="146"/>
      <c r="F669" s="146"/>
      <c r="G669" s="146"/>
    </row>
    <row r="670" spans="2:7" x14ac:dyDescent="0.25">
      <c r="B670" s="146"/>
      <c r="C670" s="146"/>
      <c r="D670" s="146"/>
      <c r="E670" s="146"/>
      <c r="F670" s="146"/>
      <c r="G670" s="146"/>
    </row>
    <row r="671" spans="2:7" x14ac:dyDescent="0.25">
      <c r="B671" s="146"/>
      <c r="C671" s="146"/>
      <c r="D671" s="146"/>
      <c r="E671" s="146"/>
      <c r="F671" s="146"/>
      <c r="G671" s="146"/>
    </row>
    <row r="672" spans="2:7" x14ac:dyDescent="0.25">
      <c r="B672" s="146"/>
      <c r="C672" s="146"/>
      <c r="D672" s="146"/>
      <c r="E672" s="146"/>
      <c r="F672" s="146"/>
      <c r="G672" s="146"/>
    </row>
    <row r="673" spans="2:7" x14ac:dyDescent="0.25">
      <c r="B673" s="146"/>
      <c r="C673" s="146"/>
      <c r="D673" s="146"/>
      <c r="E673" s="146"/>
      <c r="F673" s="146"/>
      <c r="G673" s="146"/>
    </row>
    <row r="674" spans="2:7" x14ac:dyDescent="0.25">
      <c r="B674" s="146"/>
      <c r="C674" s="146"/>
      <c r="D674" s="146"/>
      <c r="E674" s="146"/>
      <c r="F674" s="146"/>
      <c r="G674" s="146"/>
    </row>
    <row r="675" spans="2:7" x14ac:dyDescent="0.25">
      <c r="B675" s="146"/>
      <c r="C675" s="146"/>
      <c r="D675" s="146"/>
      <c r="E675" s="146"/>
      <c r="F675" s="146"/>
      <c r="G675" s="146"/>
    </row>
    <row r="676" spans="2:7" x14ac:dyDescent="0.25">
      <c r="B676" s="146"/>
      <c r="C676" s="146"/>
      <c r="D676" s="146"/>
      <c r="E676" s="146"/>
      <c r="F676" s="146"/>
      <c r="G676" s="146"/>
    </row>
    <row r="677" spans="2:7" x14ac:dyDescent="0.25">
      <c r="B677" s="146"/>
      <c r="C677" s="146"/>
      <c r="D677" s="146"/>
      <c r="E677" s="146"/>
      <c r="F677" s="146"/>
      <c r="G677" s="146"/>
    </row>
    <row r="678" spans="2:7" x14ac:dyDescent="0.25">
      <c r="B678" s="146"/>
      <c r="C678" s="146"/>
      <c r="D678" s="146"/>
      <c r="E678" s="146"/>
      <c r="F678" s="146"/>
      <c r="G678" s="146"/>
    </row>
    <row r="679" spans="2:7" x14ac:dyDescent="0.25">
      <c r="B679" s="146"/>
      <c r="C679" s="146"/>
      <c r="D679" s="146"/>
      <c r="E679" s="146"/>
      <c r="F679" s="146"/>
      <c r="G679" s="146"/>
    </row>
    <row r="680" spans="2:7" x14ac:dyDescent="0.25">
      <c r="B680" s="146"/>
      <c r="C680" s="146"/>
      <c r="D680" s="146"/>
      <c r="E680" s="146"/>
      <c r="F680" s="146"/>
      <c r="G680" s="146"/>
    </row>
    <row r="681" spans="2:7" x14ac:dyDescent="0.25">
      <c r="B681" s="146"/>
      <c r="C681" s="146"/>
      <c r="D681" s="146"/>
      <c r="E681" s="146"/>
      <c r="F681" s="146"/>
      <c r="G681" s="146"/>
    </row>
    <row r="682" spans="2:7" x14ac:dyDescent="0.25">
      <c r="B682" s="146"/>
      <c r="C682" s="146"/>
      <c r="D682" s="146"/>
      <c r="E682" s="146"/>
      <c r="F682" s="146"/>
      <c r="G682" s="146"/>
    </row>
    <row r="683" spans="2:7" x14ac:dyDescent="0.25">
      <c r="B683" s="146"/>
      <c r="C683" s="146"/>
      <c r="D683" s="146"/>
      <c r="E683" s="146"/>
      <c r="F683" s="146"/>
      <c r="G683" s="146"/>
    </row>
    <row r="684" spans="2:7" x14ac:dyDescent="0.25">
      <c r="B684" s="146"/>
      <c r="C684" s="146"/>
      <c r="D684" s="146"/>
      <c r="E684" s="146"/>
      <c r="F684" s="146"/>
      <c r="G684" s="146"/>
    </row>
    <row r="685" spans="2:7" x14ac:dyDescent="0.25">
      <c r="B685" s="146"/>
      <c r="C685" s="146"/>
      <c r="D685" s="146"/>
      <c r="E685" s="146"/>
      <c r="F685" s="146"/>
      <c r="G685" s="146"/>
    </row>
    <row r="686" spans="2:7" x14ac:dyDescent="0.25">
      <c r="B686" s="146"/>
      <c r="C686" s="146"/>
      <c r="D686" s="146"/>
      <c r="E686" s="146"/>
      <c r="F686" s="146"/>
      <c r="G686" s="146"/>
    </row>
    <row r="687" spans="2:7" x14ac:dyDescent="0.25">
      <c r="B687" s="146"/>
      <c r="C687" s="146"/>
      <c r="D687" s="146"/>
      <c r="E687" s="146"/>
      <c r="F687" s="146"/>
      <c r="G687" s="146"/>
    </row>
    <row r="688" spans="2:7" x14ac:dyDescent="0.25">
      <c r="B688" s="146"/>
      <c r="C688" s="146"/>
      <c r="D688" s="146"/>
      <c r="E688" s="146"/>
      <c r="F688" s="146"/>
      <c r="G688" s="146"/>
    </row>
    <row r="689" spans="2:7" x14ac:dyDescent="0.25">
      <c r="B689" s="146"/>
      <c r="C689" s="146"/>
      <c r="D689" s="146"/>
      <c r="E689" s="146"/>
      <c r="F689" s="146"/>
      <c r="G689" s="146"/>
    </row>
    <row r="690" spans="2:7" x14ac:dyDescent="0.25">
      <c r="B690" s="146"/>
      <c r="C690" s="146"/>
      <c r="D690" s="146"/>
      <c r="E690" s="146"/>
      <c r="F690" s="146"/>
      <c r="G690" s="146"/>
    </row>
    <row r="691" spans="2:7" x14ac:dyDescent="0.25">
      <c r="B691" s="146"/>
      <c r="C691" s="146"/>
      <c r="D691" s="146"/>
      <c r="E691" s="146"/>
      <c r="F691" s="146"/>
      <c r="G691" s="146"/>
    </row>
    <row r="692" spans="2:7" x14ac:dyDescent="0.25">
      <c r="B692" s="146"/>
      <c r="C692" s="146"/>
      <c r="D692" s="146"/>
      <c r="E692" s="146"/>
      <c r="F692" s="146"/>
      <c r="G692" s="146"/>
    </row>
    <row r="693" spans="2:7" x14ac:dyDescent="0.25">
      <c r="B693" s="146"/>
      <c r="C693" s="146"/>
      <c r="D693" s="146"/>
      <c r="E693" s="146"/>
      <c r="F693" s="146"/>
      <c r="G693" s="146"/>
    </row>
    <row r="694" spans="2:7" x14ac:dyDescent="0.25">
      <c r="B694" s="146"/>
      <c r="C694" s="146"/>
      <c r="D694" s="146"/>
      <c r="E694" s="146"/>
      <c r="F694" s="146"/>
      <c r="G694" s="146"/>
    </row>
    <row r="695" spans="2:7" x14ac:dyDescent="0.25">
      <c r="B695" s="146"/>
      <c r="C695" s="146"/>
      <c r="D695" s="146"/>
      <c r="E695" s="146"/>
      <c r="F695" s="146"/>
      <c r="G695" s="146"/>
    </row>
    <row r="696" spans="2:7" x14ac:dyDescent="0.25">
      <c r="B696" s="146"/>
      <c r="C696" s="146"/>
      <c r="D696" s="146"/>
      <c r="E696" s="146"/>
      <c r="F696" s="146"/>
      <c r="G696" s="146"/>
    </row>
    <row r="697" spans="2:7" x14ac:dyDescent="0.25">
      <c r="B697" s="146"/>
      <c r="C697" s="146"/>
      <c r="D697" s="146"/>
      <c r="E697" s="146"/>
      <c r="F697" s="146"/>
      <c r="G697" s="146"/>
    </row>
    <row r="698" spans="2:7" x14ac:dyDescent="0.25">
      <c r="B698" s="146"/>
      <c r="C698" s="146"/>
      <c r="D698" s="146"/>
      <c r="E698" s="146"/>
      <c r="F698" s="146"/>
      <c r="G698" s="146"/>
    </row>
    <row r="699" spans="2:7" x14ac:dyDescent="0.25">
      <c r="B699" s="146"/>
      <c r="C699" s="146"/>
      <c r="D699" s="146"/>
      <c r="E699" s="146"/>
      <c r="F699" s="146"/>
      <c r="G699" s="146"/>
    </row>
    <row r="700" spans="2:7" x14ac:dyDescent="0.25">
      <c r="B700" s="146"/>
      <c r="C700" s="146"/>
      <c r="D700" s="146"/>
      <c r="E700" s="146"/>
      <c r="F700" s="146"/>
      <c r="G700" s="146"/>
    </row>
    <row r="701" spans="2:7" x14ac:dyDescent="0.25">
      <c r="B701" s="146"/>
      <c r="C701" s="146"/>
      <c r="D701" s="146"/>
      <c r="E701" s="146"/>
      <c r="F701" s="146"/>
      <c r="G701" s="146"/>
    </row>
    <row r="702" spans="2:7" x14ac:dyDescent="0.25">
      <c r="B702" s="146"/>
      <c r="C702" s="146"/>
      <c r="D702" s="146"/>
      <c r="E702" s="146"/>
      <c r="F702" s="146"/>
      <c r="G702" s="146"/>
    </row>
    <row r="703" spans="2:7" x14ac:dyDescent="0.25">
      <c r="B703" s="146"/>
      <c r="C703" s="146"/>
      <c r="D703" s="146"/>
      <c r="E703" s="146"/>
      <c r="F703" s="146"/>
      <c r="G703" s="146"/>
    </row>
    <row r="704" spans="2:7" x14ac:dyDescent="0.25">
      <c r="B704" s="146"/>
      <c r="C704" s="146"/>
      <c r="D704" s="146"/>
      <c r="E704" s="146"/>
      <c r="F704" s="146"/>
      <c r="G704" s="146"/>
    </row>
    <row r="705" spans="2:7" x14ac:dyDescent="0.25">
      <c r="B705" s="146"/>
      <c r="C705" s="146"/>
      <c r="D705" s="146"/>
      <c r="E705" s="146"/>
      <c r="F705" s="146"/>
      <c r="G705" s="146"/>
    </row>
    <row r="706" spans="2:7" x14ac:dyDescent="0.25">
      <c r="B706" s="146"/>
      <c r="C706" s="146"/>
      <c r="D706" s="146"/>
      <c r="E706" s="146"/>
      <c r="F706" s="146"/>
      <c r="G706" s="146"/>
    </row>
    <row r="707" spans="2:7" x14ac:dyDescent="0.25">
      <c r="B707" s="146"/>
      <c r="C707" s="146"/>
      <c r="D707" s="146"/>
      <c r="E707" s="146"/>
      <c r="F707" s="146"/>
      <c r="G707" s="146"/>
    </row>
    <row r="708" spans="2:7" x14ac:dyDescent="0.25">
      <c r="B708" s="146"/>
      <c r="C708" s="146"/>
      <c r="D708" s="146"/>
      <c r="E708" s="146"/>
      <c r="F708" s="146"/>
      <c r="G708" s="146"/>
    </row>
    <row r="709" spans="2:7" x14ac:dyDescent="0.25">
      <c r="B709" s="146"/>
      <c r="C709" s="146"/>
      <c r="D709" s="146"/>
      <c r="E709" s="146"/>
      <c r="F709" s="146"/>
      <c r="G709" s="146"/>
    </row>
    <row r="710" spans="2:7" x14ac:dyDescent="0.25">
      <c r="B710" s="146"/>
      <c r="C710" s="146"/>
      <c r="D710" s="146"/>
      <c r="E710" s="146"/>
      <c r="F710" s="146"/>
      <c r="G710" s="146"/>
    </row>
    <row r="711" spans="2:7" x14ac:dyDescent="0.25">
      <c r="B711" s="146"/>
      <c r="C711" s="146"/>
      <c r="D711" s="146"/>
      <c r="E711" s="146"/>
      <c r="F711" s="146"/>
      <c r="G711" s="146"/>
    </row>
    <row r="712" spans="2:7" x14ac:dyDescent="0.25">
      <c r="B712" s="146"/>
      <c r="C712" s="146"/>
      <c r="D712" s="146"/>
      <c r="E712" s="146"/>
      <c r="F712" s="146"/>
      <c r="G712" s="146"/>
    </row>
    <row r="713" spans="2:7" x14ac:dyDescent="0.25">
      <c r="B713" s="146"/>
      <c r="C713" s="146"/>
      <c r="D713" s="146"/>
      <c r="E713" s="146"/>
      <c r="F713" s="146"/>
      <c r="G713" s="146"/>
    </row>
    <row r="714" spans="2:7" x14ac:dyDescent="0.25">
      <c r="B714" s="146"/>
      <c r="C714" s="146"/>
      <c r="D714" s="146"/>
      <c r="E714" s="146"/>
      <c r="F714" s="146"/>
      <c r="G714" s="146"/>
    </row>
    <row r="715" spans="2:7" x14ac:dyDescent="0.25">
      <c r="B715" s="146"/>
      <c r="C715" s="146"/>
      <c r="D715" s="146"/>
      <c r="E715" s="146"/>
      <c r="F715" s="146"/>
      <c r="G715" s="146"/>
    </row>
    <row r="716" spans="2:7" x14ac:dyDescent="0.25">
      <c r="B716" s="146"/>
      <c r="C716" s="146"/>
      <c r="D716" s="146"/>
      <c r="E716" s="146"/>
      <c r="F716" s="146"/>
      <c r="G716" s="146"/>
    </row>
    <row r="717" spans="2:7" x14ac:dyDescent="0.25">
      <c r="B717" s="146"/>
      <c r="C717" s="146"/>
      <c r="D717" s="146"/>
      <c r="E717" s="146"/>
      <c r="F717" s="146"/>
      <c r="G717" s="146"/>
    </row>
    <row r="718" spans="2:7" x14ac:dyDescent="0.25">
      <c r="B718" s="146"/>
      <c r="C718" s="146"/>
      <c r="D718" s="146"/>
      <c r="E718" s="146"/>
      <c r="F718" s="146"/>
      <c r="G718" s="146"/>
    </row>
    <row r="719" spans="2:7" x14ac:dyDescent="0.25">
      <c r="B719" s="146"/>
      <c r="C719" s="146"/>
      <c r="D719" s="146"/>
      <c r="E719" s="146"/>
      <c r="F719" s="146"/>
      <c r="G719" s="146"/>
    </row>
    <row r="720" spans="2:7" x14ac:dyDescent="0.25">
      <c r="B720" s="146"/>
      <c r="C720" s="146"/>
      <c r="D720" s="146"/>
      <c r="E720" s="146"/>
      <c r="F720" s="146"/>
      <c r="G720" s="146"/>
    </row>
    <row r="721" spans="2:7" x14ac:dyDescent="0.25">
      <c r="B721" s="146"/>
      <c r="C721" s="146"/>
      <c r="D721" s="146"/>
      <c r="E721" s="146"/>
      <c r="F721" s="146"/>
      <c r="G721" s="146"/>
    </row>
    <row r="722" spans="2:7" x14ac:dyDescent="0.25">
      <c r="B722" s="146"/>
      <c r="C722" s="146"/>
      <c r="D722" s="146"/>
      <c r="E722" s="146"/>
      <c r="F722" s="146"/>
      <c r="G722" s="146"/>
    </row>
    <row r="723" spans="2:7" x14ac:dyDescent="0.25">
      <c r="B723" s="146"/>
      <c r="C723" s="146"/>
      <c r="D723" s="146"/>
      <c r="E723" s="146"/>
      <c r="F723" s="146"/>
      <c r="G723" s="146"/>
    </row>
    <row r="724" spans="2:7" x14ac:dyDescent="0.25">
      <c r="B724" s="146"/>
      <c r="C724" s="146"/>
      <c r="D724" s="146"/>
      <c r="E724" s="146"/>
      <c r="F724" s="146"/>
      <c r="G724" s="146"/>
    </row>
    <row r="725" spans="2:7" x14ac:dyDescent="0.25">
      <c r="B725" s="146"/>
      <c r="C725" s="146"/>
      <c r="D725" s="146"/>
      <c r="E725" s="146"/>
      <c r="F725" s="146"/>
      <c r="G725" s="146"/>
    </row>
    <row r="726" spans="2:7" x14ac:dyDescent="0.25">
      <c r="B726" s="146"/>
      <c r="C726" s="146"/>
      <c r="D726" s="146"/>
      <c r="E726" s="146"/>
      <c r="F726" s="146"/>
      <c r="G726" s="146"/>
    </row>
    <row r="727" spans="2:7" x14ac:dyDescent="0.25">
      <c r="B727" s="146"/>
      <c r="C727" s="146"/>
      <c r="D727" s="146"/>
      <c r="E727" s="146"/>
      <c r="F727" s="146"/>
      <c r="G727" s="146"/>
    </row>
    <row r="728" spans="2:7" x14ac:dyDescent="0.25">
      <c r="B728" s="146"/>
      <c r="C728" s="146"/>
      <c r="D728" s="146"/>
      <c r="E728" s="146"/>
      <c r="F728" s="146"/>
      <c r="G728" s="146"/>
    </row>
    <row r="729" spans="2:7" x14ac:dyDescent="0.25">
      <c r="B729" s="146"/>
      <c r="C729" s="146"/>
      <c r="D729" s="146"/>
      <c r="E729" s="146"/>
      <c r="F729" s="146"/>
      <c r="G729" s="146"/>
    </row>
    <row r="730" spans="2:7" x14ac:dyDescent="0.25">
      <c r="B730" s="146"/>
      <c r="C730" s="146"/>
      <c r="D730" s="146"/>
      <c r="E730" s="146"/>
      <c r="F730" s="146"/>
      <c r="G730" s="146"/>
    </row>
    <row r="731" spans="2:7" x14ac:dyDescent="0.25">
      <c r="B731" s="146"/>
      <c r="C731" s="146"/>
      <c r="D731" s="146"/>
      <c r="E731" s="146"/>
      <c r="F731" s="146"/>
      <c r="G731" s="146"/>
    </row>
    <row r="732" spans="2:7" x14ac:dyDescent="0.25">
      <c r="B732" s="146"/>
      <c r="C732" s="146"/>
      <c r="D732" s="146"/>
      <c r="E732" s="146"/>
      <c r="F732" s="146"/>
      <c r="G732" s="146"/>
    </row>
    <row r="733" spans="2:7" x14ac:dyDescent="0.25">
      <c r="B733" s="146"/>
      <c r="C733" s="146"/>
      <c r="D733" s="146"/>
      <c r="E733" s="146"/>
      <c r="F733" s="146"/>
      <c r="G733" s="146"/>
    </row>
    <row r="734" spans="2:7" x14ac:dyDescent="0.25">
      <c r="B734" s="146"/>
      <c r="C734" s="146"/>
      <c r="D734" s="146"/>
      <c r="E734" s="146"/>
      <c r="F734" s="146"/>
      <c r="G734" s="146"/>
    </row>
    <row r="735" spans="2:7" x14ac:dyDescent="0.25">
      <c r="B735" s="146"/>
      <c r="C735" s="146"/>
      <c r="D735" s="146"/>
      <c r="E735" s="146"/>
      <c r="F735" s="146"/>
      <c r="G735" s="146"/>
    </row>
    <row r="736" spans="2:7" x14ac:dyDescent="0.25">
      <c r="B736" s="146"/>
      <c r="C736" s="146"/>
      <c r="D736" s="146"/>
      <c r="E736" s="146"/>
      <c r="F736" s="146"/>
      <c r="G736" s="146"/>
    </row>
    <row r="737" spans="2:7" x14ac:dyDescent="0.25">
      <c r="B737" s="146"/>
      <c r="C737" s="146"/>
      <c r="D737" s="146"/>
      <c r="E737" s="146"/>
      <c r="F737" s="146"/>
      <c r="G737" s="146"/>
    </row>
    <row r="738" spans="2:7" x14ac:dyDescent="0.25">
      <c r="B738" s="146"/>
      <c r="C738" s="146"/>
      <c r="D738" s="146"/>
      <c r="E738" s="146"/>
      <c r="F738" s="146"/>
      <c r="G738" s="146"/>
    </row>
    <row r="739" spans="2:7" x14ac:dyDescent="0.25">
      <c r="B739" s="146"/>
      <c r="C739" s="146"/>
      <c r="D739" s="146"/>
      <c r="E739" s="146"/>
      <c r="F739" s="146"/>
      <c r="G739" s="146"/>
    </row>
    <row r="740" spans="2:7" x14ac:dyDescent="0.25">
      <c r="B740" s="146"/>
      <c r="C740" s="146"/>
      <c r="D740" s="146"/>
      <c r="E740" s="146"/>
      <c r="F740" s="146"/>
      <c r="G740" s="146"/>
    </row>
    <row r="741" spans="2:7" x14ac:dyDescent="0.25">
      <c r="B741" s="146"/>
      <c r="C741" s="146"/>
      <c r="D741" s="146"/>
      <c r="E741" s="146"/>
      <c r="F741" s="146"/>
      <c r="G741" s="146"/>
    </row>
    <row r="742" spans="2:7" x14ac:dyDescent="0.25">
      <c r="B742" s="146"/>
      <c r="C742" s="146"/>
      <c r="D742" s="146"/>
      <c r="E742" s="146"/>
      <c r="F742" s="146"/>
      <c r="G742" s="146"/>
    </row>
    <row r="743" spans="2:7" x14ac:dyDescent="0.25">
      <c r="B743" s="146"/>
      <c r="C743" s="146"/>
      <c r="D743" s="146"/>
      <c r="E743" s="146"/>
      <c r="F743" s="146"/>
      <c r="G743" s="146"/>
    </row>
    <row r="744" spans="2:7" x14ac:dyDescent="0.25">
      <c r="B744" s="146"/>
      <c r="C744" s="146"/>
      <c r="D744" s="146"/>
      <c r="E744" s="146"/>
      <c r="F744" s="146"/>
      <c r="G744" s="146"/>
    </row>
    <row r="745" spans="2:7" x14ac:dyDescent="0.25">
      <c r="B745" s="146"/>
      <c r="C745" s="146"/>
      <c r="D745" s="146"/>
      <c r="E745" s="146"/>
      <c r="F745" s="146"/>
      <c r="G745" s="146"/>
    </row>
    <row r="746" spans="2:7" x14ac:dyDescent="0.25">
      <c r="B746" s="146"/>
      <c r="C746" s="146"/>
      <c r="D746" s="146"/>
      <c r="E746" s="146"/>
      <c r="F746" s="146"/>
      <c r="G746" s="146"/>
    </row>
    <row r="747" spans="2:7" x14ac:dyDescent="0.25">
      <c r="B747" s="146"/>
      <c r="C747" s="146"/>
      <c r="D747" s="146"/>
      <c r="E747" s="146"/>
      <c r="F747" s="146"/>
      <c r="G747" s="146"/>
    </row>
    <row r="748" spans="2:7" x14ac:dyDescent="0.25">
      <c r="B748" s="146"/>
      <c r="C748" s="146"/>
      <c r="D748" s="146"/>
      <c r="E748" s="146"/>
      <c r="F748" s="146"/>
      <c r="G748" s="146"/>
    </row>
    <row r="749" spans="2:7" x14ac:dyDescent="0.25">
      <c r="B749" s="146"/>
      <c r="C749" s="146"/>
      <c r="D749" s="146"/>
      <c r="E749" s="146"/>
      <c r="F749" s="146"/>
      <c r="G749" s="146"/>
    </row>
    <row r="750" spans="2:7" x14ac:dyDescent="0.25">
      <c r="B750" s="146"/>
      <c r="C750" s="146"/>
      <c r="D750" s="146"/>
      <c r="E750" s="146"/>
      <c r="F750" s="146"/>
      <c r="G750" s="146"/>
    </row>
    <row r="751" spans="2:7" x14ac:dyDescent="0.25">
      <c r="B751" s="146"/>
      <c r="C751" s="146"/>
      <c r="D751" s="146"/>
      <c r="E751" s="146"/>
      <c r="F751" s="146"/>
      <c r="G751" s="146"/>
    </row>
    <row r="752" spans="2:7" x14ac:dyDescent="0.25">
      <c r="B752" s="146"/>
      <c r="C752" s="146"/>
      <c r="D752" s="146"/>
      <c r="E752" s="146"/>
      <c r="F752" s="146"/>
      <c r="G752" s="146"/>
    </row>
    <row r="753" spans="2:7" x14ac:dyDescent="0.25">
      <c r="B753" s="146"/>
      <c r="C753" s="146"/>
      <c r="D753" s="146"/>
      <c r="E753" s="146"/>
      <c r="F753" s="146"/>
      <c r="G753" s="146"/>
    </row>
    <row r="754" spans="2:7" x14ac:dyDescent="0.25">
      <c r="B754" s="146"/>
      <c r="C754" s="146"/>
      <c r="D754" s="146"/>
      <c r="E754" s="146"/>
      <c r="F754" s="146"/>
      <c r="G754" s="146"/>
    </row>
    <row r="755" spans="2:7" x14ac:dyDescent="0.25">
      <c r="B755" s="146"/>
      <c r="C755" s="146"/>
      <c r="D755" s="146"/>
      <c r="E755" s="146"/>
      <c r="F755" s="146"/>
      <c r="G755" s="146"/>
    </row>
    <row r="756" spans="2:7" x14ac:dyDescent="0.25">
      <c r="B756" s="146"/>
      <c r="C756" s="146"/>
      <c r="D756" s="146"/>
      <c r="E756" s="146"/>
      <c r="F756" s="146"/>
      <c r="G756" s="146"/>
    </row>
    <row r="757" spans="2:7" x14ac:dyDescent="0.25">
      <c r="B757" s="146"/>
      <c r="C757" s="146"/>
      <c r="D757" s="146"/>
      <c r="E757" s="146"/>
      <c r="F757" s="146"/>
      <c r="G757" s="146"/>
    </row>
    <row r="758" spans="2:7" x14ac:dyDescent="0.25">
      <c r="B758" s="146"/>
      <c r="C758" s="146"/>
      <c r="D758" s="146"/>
      <c r="E758" s="146"/>
      <c r="F758" s="146"/>
      <c r="G758" s="146"/>
    </row>
    <row r="759" spans="2:7" x14ac:dyDescent="0.25">
      <c r="B759" s="146"/>
      <c r="C759" s="146"/>
      <c r="D759" s="146"/>
      <c r="E759" s="146"/>
      <c r="F759" s="146"/>
      <c r="G759" s="146"/>
    </row>
    <row r="760" spans="2:7" x14ac:dyDescent="0.25">
      <c r="B760" s="146"/>
      <c r="C760" s="146"/>
      <c r="D760" s="146"/>
      <c r="E760" s="146"/>
      <c r="F760" s="146"/>
      <c r="G760" s="146"/>
    </row>
    <row r="761" spans="2:7" x14ac:dyDescent="0.25">
      <c r="B761" s="146"/>
      <c r="C761" s="146"/>
      <c r="D761" s="146"/>
      <c r="E761" s="146"/>
      <c r="F761" s="146"/>
      <c r="G761" s="146"/>
    </row>
    <row r="762" spans="2:7" x14ac:dyDescent="0.25">
      <c r="B762" s="146"/>
      <c r="C762" s="146"/>
      <c r="D762" s="146"/>
      <c r="E762" s="146"/>
      <c r="F762" s="146"/>
      <c r="G762" s="146"/>
    </row>
    <row r="763" spans="2:7" x14ac:dyDescent="0.25">
      <c r="B763" s="146"/>
      <c r="C763" s="146"/>
      <c r="D763" s="146"/>
      <c r="E763" s="146"/>
      <c r="F763" s="146"/>
      <c r="G763" s="146"/>
    </row>
    <row r="764" spans="2:7" x14ac:dyDescent="0.25">
      <c r="B764" s="146"/>
      <c r="C764" s="146"/>
      <c r="D764" s="146"/>
      <c r="E764" s="146"/>
      <c r="F764" s="146"/>
      <c r="G764" s="146"/>
    </row>
    <row r="765" spans="2:7" x14ac:dyDescent="0.25">
      <c r="B765" s="146"/>
      <c r="C765" s="146"/>
      <c r="D765" s="146"/>
      <c r="E765" s="146"/>
      <c r="F765" s="146"/>
      <c r="G765" s="146"/>
    </row>
    <row r="766" spans="2:7" x14ac:dyDescent="0.25">
      <c r="B766" s="146"/>
      <c r="C766" s="146"/>
      <c r="D766" s="146"/>
      <c r="E766" s="146"/>
      <c r="F766" s="146"/>
      <c r="G766" s="146"/>
    </row>
    <row r="767" spans="2:7" x14ac:dyDescent="0.25">
      <c r="B767" s="146"/>
      <c r="C767" s="146"/>
      <c r="D767" s="146"/>
      <c r="E767" s="146"/>
      <c r="F767" s="146"/>
      <c r="G767" s="146"/>
    </row>
    <row r="768" spans="2:7" x14ac:dyDescent="0.25">
      <c r="B768" s="146"/>
      <c r="C768" s="146"/>
      <c r="D768" s="146"/>
      <c r="E768" s="146"/>
      <c r="F768" s="146"/>
      <c r="G768" s="146"/>
    </row>
    <row r="769" spans="2:7" x14ac:dyDescent="0.25">
      <c r="B769" s="146"/>
      <c r="C769" s="146"/>
      <c r="D769" s="146"/>
      <c r="E769" s="146"/>
      <c r="F769" s="146"/>
      <c r="G769" s="146"/>
    </row>
    <row r="770" spans="2:7" x14ac:dyDescent="0.25">
      <c r="B770" s="146"/>
      <c r="C770" s="146"/>
      <c r="D770" s="146"/>
      <c r="E770" s="146"/>
      <c r="F770" s="146"/>
      <c r="G770" s="146"/>
    </row>
    <row r="771" spans="2:7" x14ac:dyDescent="0.25">
      <c r="B771" s="146"/>
      <c r="C771" s="146"/>
      <c r="D771" s="146"/>
      <c r="E771" s="146"/>
      <c r="F771" s="146"/>
      <c r="G771" s="146"/>
    </row>
    <row r="772" spans="2:7" x14ac:dyDescent="0.25">
      <c r="B772" s="146"/>
      <c r="C772" s="146"/>
      <c r="D772" s="146"/>
      <c r="E772" s="146"/>
      <c r="F772" s="146"/>
      <c r="G772" s="146"/>
    </row>
    <row r="773" spans="2:7" x14ac:dyDescent="0.25">
      <c r="B773" s="146"/>
      <c r="C773" s="146"/>
      <c r="D773" s="146"/>
      <c r="E773" s="146"/>
      <c r="F773" s="146"/>
      <c r="G773" s="146"/>
    </row>
    <row r="774" spans="2:7" x14ac:dyDescent="0.25">
      <c r="B774" s="146"/>
      <c r="C774" s="146"/>
      <c r="D774" s="146"/>
      <c r="E774" s="146"/>
      <c r="F774" s="146"/>
      <c r="G774" s="146"/>
    </row>
    <row r="775" spans="2:7" x14ac:dyDescent="0.25">
      <c r="B775" s="146"/>
      <c r="C775" s="146"/>
      <c r="D775" s="146"/>
      <c r="E775" s="146"/>
      <c r="F775" s="146"/>
      <c r="G775" s="146"/>
    </row>
    <row r="776" spans="2:7" x14ac:dyDescent="0.25">
      <c r="B776" s="146"/>
      <c r="C776" s="146"/>
      <c r="D776" s="146"/>
      <c r="E776" s="146"/>
      <c r="F776" s="146"/>
      <c r="G776" s="146"/>
    </row>
    <row r="777" spans="2:7" x14ac:dyDescent="0.25">
      <c r="B777" s="146"/>
      <c r="C777" s="146"/>
      <c r="D777" s="146"/>
      <c r="E777" s="146"/>
      <c r="F777" s="146"/>
      <c r="G777" s="146"/>
    </row>
    <row r="778" spans="2:7" x14ac:dyDescent="0.25">
      <c r="B778" s="146"/>
      <c r="C778" s="146"/>
      <c r="D778" s="146"/>
      <c r="E778" s="146"/>
      <c r="F778" s="146"/>
      <c r="G778" s="146"/>
    </row>
    <row r="779" spans="2:7" x14ac:dyDescent="0.25">
      <c r="B779" s="146"/>
      <c r="C779" s="146"/>
      <c r="D779" s="146"/>
      <c r="E779" s="146"/>
      <c r="F779" s="146"/>
      <c r="G779" s="146"/>
    </row>
    <row r="780" spans="2:7" x14ac:dyDescent="0.25">
      <c r="B780" s="146"/>
      <c r="C780" s="146"/>
      <c r="D780" s="146"/>
      <c r="E780" s="146"/>
      <c r="F780" s="146"/>
      <c r="G780" s="146"/>
    </row>
    <row r="781" spans="2:7" x14ac:dyDescent="0.25">
      <c r="B781" s="146"/>
      <c r="C781" s="146"/>
      <c r="D781" s="146"/>
      <c r="E781" s="146"/>
      <c r="F781" s="146"/>
      <c r="G781" s="146"/>
    </row>
    <row r="782" spans="2:7" x14ac:dyDescent="0.25">
      <c r="B782" s="146"/>
      <c r="C782" s="146"/>
      <c r="D782" s="146"/>
      <c r="E782" s="146"/>
      <c r="F782" s="146"/>
      <c r="G782" s="146"/>
    </row>
    <row r="783" spans="2:7" x14ac:dyDescent="0.25">
      <c r="B783" s="146"/>
      <c r="C783" s="146"/>
      <c r="D783" s="146"/>
      <c r="E783" s="146"/>
      <c r="F783" s="146"/>
      <c r="G783" s="146"/>
    </row>
    <row r="784" spans="2:7" x14ac:dyDescent="0.25">
      <c r="B784" s="146"/>
      <c r="C784" s="146"/>
      <c r="D784" s="146"/>
      <c r="E784" s="146"/>
      <c r="F784" s="146"/>
      <c r="G784" s="146"/>
    </row>
    <row r="785" spans="2:7" x14ac:dyDescent="0.25">
      <c r="B785" s="146"/>
      <c r="C785" s="146"/>
      <c r="D785" s="146"/>
      <c r="E785" s="146"/>
      <c r="F785" s="146"/>
      <c r="G785" s="146"/>
    </row>
    <row r="786" spans="2:7" x14ac:dyDescent="0.25">
      <c r="B786" s="146"/>
      <c r="C786" s="146"/>
      <c r="D786" s="146"/>
      <c r="E786" s="146"/>
      <c r="F786" s="146"/>
      <c r="G786" s="146"/>
    </row>
    <row r="787" spans="2:7" x14ac:dyDescent="0.25">
      <c r="B787" s="146"/>
      <c r="C787" s="146"/>
      <c r="D787" s="146"/>
      <c r="E787" s="146"/>
      <c r="F787" s="146"/>
      <c r="G787" s="146"/>
    </row>
    <row r="788" spans="2:7" x14ac:dyDescent="0.25">
      <c r="B788" s="146"/>
      <c r="C788" s="146"/>
      <c r="D788" s="146"/>
      <c r="E788" s="146"/>
      <c r="F788" s="146"/>
      <c r="G788" s="146"/>
    </row>
    <row r="789" spans="2:7" x14ac:dyDescent="0.25">
      <c r="B789" s="146"/>
      <c r="C789" s="146"/>
      <c r="D789" s="146"/>
      <c r="E789" s="146"/>
      <c r="F789" s="146"/>
      <c r="G789" s="146"/>
    </row>
    <row r="790" spans="2:7" x14ac:dyDescent="0.25">
      <c r="B790" s="146"/>
      <c r="C790" s="146"/>
      <c r="D790" s="146"/>
      <c r="E790" s="146"/>
      <c r="F790" s="146"/>
      <c r="G790" s="146"/>
    </row>
    <row r="791" spans="2:7" x14ac:dyDescent="0.25">
      <c r="B791" s="146"/>
      <c r="C791" s="146"/>
      <c r="D791" s="146"/>
      <c r="E791" s="146"/>
      <c r="F791" s="146"/>
      <c r="G791" s="146"/>
    </row>
    <row r="792" spans="2:7" x14ac:dyDescent="0.25">
      <c r="B792" s="146"/>
      <c r="C792" s="146"/>
      <c r="D792" s="146"/>
      <c r="E792" s="146"/>
      <c r="F792" s="146"/>
      <c r="G792" s="146"/>
    </row>
    <row r="793" spans="2:7" x14ac:dyDescent="0.25">
      <c r="B793" s="146"/>
      <c r="C793" s="146"/>
      <c r="D793" s="146"/>
      <c r="E793" s="146"/>
      <c r="F793" s="146"/>
      <c r="G793" s="146"/>
    </row>
    <row r="794" spans="2:7" x14ac:dyDescent="0.25">
      <c r="B794" s="146"/>
      <c r="C794" s="146"/>
      <c r="D794" s="146"/>
      <c r="E794" s="146"/>
      <c r="F794" s="146"/>
      <c r="G794" s="146"/>
    </row>
    <row r="795" spans="2:7" x14ac:dyDescent="0.25">
      <c r="B795" s="146"/>
      <c r="C795" s="146"/>
      <c r="D795" s="146"/>
      <c r="E795" s="146"/>
      <c r="F795" s="146"/>
      <c r="G795" s="146"/>
    </row>
    <row r="796" spans="2:7" x14ac:dyDescent="0.25">
      <c r="B796" s="146"/>
      <c r="C796" s="146"/>
      <c r="D796" s="146"/>
      <c r="E796" s="146"/>
      <c r="F796" s="146"/>
      <c r="G796" s="146"/>
    </row>
    <row r="797" spans="2:7" x14ac:dyDescent="0.25">
      <c r="B797" s="146"/>
      <c r="C797" s="146"/>
      <c r="D797" s="146"/>
      <c r="E797" s="146"/>
      <c r="F797" s="146"/>
      <c r="G797" s="146"/>
    </row>
    <row r="798" spans="2:7" x14ac:dyDescent="0.25">
      <c r="B798" s="146"/>
      <c r="C798" s="146"/>
      <c r="D798" s="146"/>
      <c r="E798" s="146"/>
      <c r="F798" s="146"/>
      <c r="G798" s="146"/>
    </row>
    <row r="799" spans="2:7" x14ac:dyDescent="0.25">
      <c r="B799" s="146"/>
      <c r="C799" s="146"/>
      <c r="D799" s="146"/>
      <c r="E799" s="146"/>
      <c r="F799" s="146"/>
      <c r="G799" s="146"/>
    </row>
    <row r="800" spans="2:7" x14ac:dyDescent="0.25">
      <c r="B800" s="146"/>
      <c r="C800" s="146"/>
      <c r="D800" s="146"/>
      <c r="E800" s="146"/>
      <c r="F800" s="146"/>
      <c r="G800" s="146"/>
    </row>
    <row r="801" spans="2:7" x14ac:dyDescent="0.25">
      <c r="B801" s="146"/>
      <c r="C801" s="146"/>
      <c r="D801" s="146"/>
      <c r="E801" s="146"/>
      <c r="F801" s="146"/>
      <c r="G801" s="146"/>
    </row>
    <row r="802" spans="2:7" x14ac:dyDescent="0.25">
      <c r="B802" s="146"/>
      <c r="C802" s="146"/>
      <c r="D802" s="146"/>
      <c r="E802" s="146"/>
      <c r="F802" s="146"/>
      <c r="G802" s="146"/>
    </row>
    <row r="803" spans="2:7" x14ac:dyDescent="0.25">
      <c r="B803" s="146"/>
      <c r="C803" s="146"/>
      <c r="D803" s="146"/>
      <c r="E803" s="146"/>
      <c r="F803" s="146"/>
      <c r="G803" s="146"/>
    </row>
    <row r="804" spans="2:7" x14ac:dyDescent="0.25">
      <c r="B804" s="146"/>
      <c r="C804" s="146"/>
      <c r="D804" s="146"/>
      <c r="E804" s="146"/>
      <c r="F804" s="146"/>
      <c r="G804" s="146"/>
    </row>
    <row r="805" spans="2:7" x14ac:dyDescent="0.25">
      <c r="B805" s="146"/>
      <c r="C805" s="146"/>
      <c r="D805" s="146"/>
      <c r="E805" s="146"/>
      <c r="F805" s="146"/>
      <c r="G805" s="146"/>
    </row>
    <row r="806" spans="2:7" x14ac:dyDescent="0.25">
      <c r="B806" s="146"/>
      <c r="C806" s="146"/>
      <c r="D806" s="146"/>
      <c r="E806" s="146"/>
      <c r="F806" s="146"/>
      <c r="G806" s="146"/>
    </row>
    <row r="807" spans="2:7" x14ac:dyDescent="0.25">
      <c r="B807" s="146"/>
      <c r="C807" s="146"/>
      <c r="D807" s="146"/>
      <c r="E807" s="146"/>
      <c r="F807" s="146"/>
      <c r="G807" s="146"/>
    </row>
    <row r="808" spans="2:7" x14ac:dyDescent="0.25">
      <c r="B808" s="146"/>
      <c r="C808" s="146"/>
      <c r="D808" s="146"/>
      <c r="E808" s="146"/>
      <c r="F808" s="146"/>
      <c r="G808" s="146"/>
    </row>
    <row r="809" spans="2:7" x14ac:dyDescent="0.25">
      <c r="B809" s="146"/>
      <c r="C809" s="146"/>
      <c r="D809" s="146"/>
      <c r="E809" s="146"/>
      <c r="F809" s="146"/>
      <c r="G809" s="146"/>
    </row>
    <row r="810" spans="2:7" x14ac:dyDescent="0.25">
      <c r="B810" s="146"/>
      <c r="C810" s="146"/>
      <c r="D810" s="146"/>
      <c r="E810" s="146"/>
      <c r="F810" s="146"/>
      <c r="G810" s="146"/>
    </row>
    <row r="811" spans="2:7" x14ac:dyDescent="0.25">
      <c r="B811" s="146"/>
      <c r="C811" s="146"/>
      <c r="D811" s="146"/>
      <c r="E811" s="146"/>
      <c r="F811" s="146"/>
      <c r="G811" s="146"/>
    </row>
    <row r="812" spans="2:7" x14ac:dyDescent="0.25">
      <c r="B812" s="146"/>
      <c r="C812" s="146"/>
      <c r="D812" s="146"/>
      <c r="E812" s="146"/>
      <c r="F812" s="146"/>
      <c r="G812" s="146"/>
    </row>
    <row r="813" spans="2:7" x14ac:dyDescent="0.25">
      <c r="B813" s="146"/>
      <c r="C813" s="146"/>
      <c r="D813" s="146"/>
      <c r="E813" s="146"/>
      <c r="F813" s="146"/>
      <c r="G813" s="146"/>
    </row>
    <row r="814" spans="2:7" x14ac:dyDescent="0.25">
      <c r="B814" s="146"/>
      <c r="C814" s="146"/>
      <c r="D814" s="146"/>
      <c r="E814" s="146"/>
      <c r="F814" s="146"/>
      <c r="G814" s="146"/>
    </row>
    <row r="815" spans="2:7" x14ac:dyDescent="0.25">
      <c r="B815" s="146"/>
      <c r="C815" s="146"/>
      <c r="D815" s="146"/>
      <c r="E815" s="146"/>
      <c r="F815" s="146"/>
      <c r="G815" s="146"/>
    </row>
    <row r="816" spans="2:7" x14ac:dyDescent="0.25">
      <c r="B816" s="146"/>
      <c r="C816" s="146"/>
      <c r="D816" s="146"/>
      <c r="E816" s="146"/>
      <c r="F816" s="146"/>
      <c r="G816" s="146"/>
    </row>
    <row r="817" spans="2:7" x14ac:dyDescent="0.25">
      <c r="B817" s="146"/>
      <c r="C817" s="146"/>
      <c r="D817" s="146"/>
      <c r="E817" s="146"/>
      <c r="F817" s="146"/>
      <c r="G817" s="146"/>
    </row>
    <row r="818" spans="2:7" x14ac:dyDescent="0.25">
      <c r="B818" s="146"/>
      <c r="C818" s="146"/>
      <c r="D818" s="146"/>
      <c r="E818" s="146"/>
      <c r="F818" s="146"/>
      <c r="G818" s="146"/>
    </row>
    <row r="819" spans="2:7" x14ac:dyDescent="0.25">
      <c r="B819" s="146"/>
      <c r="C819" s="146"/>
      <c r="D819" s="146"/>
      <c r="E819" s="146"/>
      <c r="F819" s="146"/>
      <c r="G819" s="146"/>
    </row>
    <row r="820" spans="2:7" x14ac:dyDescent="0.25">
      <c r="B820" s="146"/>
      <c r="C820" s="146"/>
      <c r="D820" s="146"/>
      <c r="E820" s="146"/>
      <c r="F820" s="146"/>
      <c r="G820" s="146"/>
    </row>
    <row r="821" spans="2:7" x14ac:dyDescent="0.25">
      <c r="B821" s="146"/>
      <c r="C821" s="146"/>
      <c r="D821" s="146"/>
      <c r="E821" s="146"/>
      <c r="F821" s="146"/>
      <c r="G821" s="146"/>
    </row>
    <row r="822" spans="2:7" x14ac:dyDescent="0.25">
      <c r="B822" s="146"/>
      <c r="C822" s="146"/>
      <c r="D822" s="146"/>
      <c r="E822" s="146"/>
      <c r="F822" s="146"/>
      <c r="G822" s="146"/>
    </row>
    <row r="823" spans="2:7" x14ac:dyDescent="0.25">
      <c r="B823" s="146"/>
      <c r="C823" s="146"/>
      <c r="D823" s="146"/>
      <c r="E823" s="146"/>
      <c r="F823" s="146"/>
      <c r="G823" s="146"/>
    </row>
    <row r="824" spans="2:7" x14ac:dyDescent="0.25">
      <c r="B824" s="146"/>
      <c r="C824" s="146"/>
      <c r="D824" s="146"/>
      <c r="E824" s="146"/>
      <c r="F824" s="146"/>
      <c r="G824" s="146"/>
    </row>
    <row r="825" spans="2:7" x14ac:dyDescent="0.25">
      <c r="B825" s="146"/>
      <c r="C825" s="146"/>
      <c r="D825" s="146"/>
      <c r="E825" s="146"/>
      <c r="F825" s="146"/>
      <c r="G825" s="146"/>
    </row>
    <row r="826" spans="2:7" x14ac:dyDescent="0.25">
      <c r="B826" s="146"/>
      <c r="C826" s="146"/>
      <c r="D826" s="146"/>
      <c r="E826" s="146"/>
      <c r="F826" s="146"/>
      <c r="G826" s="146"/>
    </row>
    <row r="827" spans="2:7" x14ac:dyDescent="0.25">
      <c r="B827" s="146"/>
      <c r="C827" s="146"/>
      <c r="D827" s="146"/>
      <c r="E827" s="146"/>
      <c r="F827" s="146"/>
      <c r="G827" s="146"/>
    </row>
    <row r="828" spans="2:7" x14ac:dyDescent="0.25">
      <c r="B828" s="146"/>
      <c r="C828" s="146"/>
      <c r="D828" s="146"/>
      <c r="E828" s="146"/>
      <c r="F828" s="146"/>
      <c r="G828" s="146"/>
    </row>
    <row r="829" spans="2:7" x14ac:dyDescent="0.25">
      <c r="B829" s="146"/>
      <c r="C829" s="146"/>
      <c r="D829" s="146"/>
      <c r="E829" s="146"/>
      <c r="F829" s="146"/>
      <c r="G829" s="146"/>
    </row>
    <row r="830" spans="2:7" x14ac:dyDescent="0.25">
      <c r="B830" s="146"/>
      <c r="C830" s="146"/>
      <c r="D830" s="146"/>
      <c r="E830" s="146"/>
      <c r="F830" s="146"/>
      <c r="G830" s="146"/>
    </row>
    <row r="831" spans="2:7" x14ac:dyDescent="0.25">
      <c r="B831" s="146"/>
      <c r="C831" s="146"/>
      <c r="D831" s="146"/>
      <c r="E831" s="146"/>
      <c r="F831" s="146"/>
      <c r="G831" s="146"/>
    </row>
    <row r="832" spans="2:7" x14ac:dyDescent="0.25">
      <c r="B832" s="146"/>
      <c r="C832" s="146"/>
      <c r="D832" s="146"/>
      <c r="E832" s="146"/>
      <c r="F832" s="146"/>
      <c r="G832" s="146"/>
    </row>
    <row r="833" spans="2:7" x14ac:dyDescent="0.25">
      <c r="B833" s="146"/>
      <c r="C833" s="146"/>
      <c r="D833" s="146"/>
      <c r="E833" s="146"/>
      <c r="F833" s="146"/>
      <c r="G833" s="146"/>
    </row>
    <row r="834" spans="2:7" x14ac:dyDescent="0.25">
      <c r="B834" s="146"/>
      <c r="C834" s="146"/>
      <c r="D834" s="146"/>
      <c r="E834" s="146"/>
      <c r="F834" s="146"/>
      <c r="G834" s="146"/>
    </row>
    <row r="835" spans="2:7" x14ac:dyDescent="0.25">
      <c r="B835" s="146"/>
      <c r="C835" s="146"/>
      <c r="D835" s="146"/>
      <c r="E835" s="146"/>
      <c r="F835" s="146"/>
      <c r="G835" s="146"/>
    </row>
    <row r="836" spans="2:7" x14ac:dyDescent="0.25">
      <c r="B836" s="146"/>
      <c r="C836" s="146"/>
      <c r="D836" s="146"/>
      <c r="E836" s="146"/>
      <c r="F836" s="146"/>
      <c r="G836" s="146"/>
    </row>
    <row r="837" spans="2:7" x14ac:dyDescent="0.25">
      <c r="B837" s="146"/>
      <c r="C837" s="146"/>
      <c r="D837" s="146"/>
      <c r="E837" s="146"/>
      <c r="F837" s="146"/>
      <c r="G837" s="146"/>
    </row>
    <row r="838" spans="2:7" x14ac:dyDescent="0.25">
      <c r="B838" s="146"/>
      <c r="C838" s="146"/>
      <c r="D838" s="146"/>
      <c r="E838" s="146"/>
      <c r="F838" s="146"/>
      <c r="G838" s="146"/>
    </row>
    <row r="839" spans="2:7" x14ac:dyDescent="0.25">
      <c r="B839" s="146"/>
      <c r="C839" s="146"/>
      <c r="D839" s="146"/>
      <c r="E839" s="146"/>
      <c r="F839" s="146"/>
      <c r="G839" s="146"/>
    </row>
    <row r="840" spans="2:7" x14ac:dyDescent="0.25">
      <c r="B840" s="146"/>
      <c r="C840" s="146"/>
      <c r="D840" s="146"/>
      <c r="E840" s="146"/>
      <c r="F840" s="146"/>
      <c r="G840" s="146"/>
    </row>
    <row r="841" spans="2:7" x14ac:dyDescent="0.25">
      <c r="B841" s="146"/>
      <c r="C841" s="146"/>
      <c r="D841" s="146"/>
      <c r="E841" s="146"/>
      <c r="F841" s="146"/>
      <c r="G841" s="146"/>
    </row>
    <row r="842" spans="2:7" x14ac:dyDescent="0.25">
      <c r="B842" s="146"/>
      <c r="C842" s="146"/>
      <c r="D842" s="146"/>
      <c r="E842" s="146"/>
      <c r="F842" s="146"/>
      <c r="G842" s="146"/>
    </row>
    <row r="843" spans="2:7" x14ac:dyDescent="0.25">
      <c r="B843" s="146"/>
      <c r="C843" s="146"/>
      <c r="D843" s="146"/>
      <c r="E843" s="146"/>
      <c r="F843" s="146"/>
      <c r="G843" s="146"/>
    </row>
    <row r="844" spans="2:7" x14ac:dyDescent="0.25">
      <c r="B844" s="146"/>
      <c r="C844" s="146"/>
      <c r="D844" s="146"/>
      <c r="E844" s="146"/>
      <c r="F844" s="146"/>
      <c r="G844" s="146"/>
    </row>
    <row r="845" spans="2:7" x14ac:dyDescent="0.25">
      <c r="B845" s="146"/>
      <c r="C845" s="146"/>
      <c r="D845" s="146"/>
      <c r="E845" s="146"/>
      <c r="F845" s="146"/>
      <c r="G845" s="146"/>
    </row>
    <row r="846" spans="2:7" x14ac:dyDescent="0.25">
      <c r="B846" s="146"/>
      <c r="C846" s="146"/>
      <c r="D846" s="146"/>
      <c r="E846" s="146"/>
      <c r="F846" s="146"/>
      <c r="G846" s="146"/>
    </row>
    <row r="847" spans="2:7" x14ac:dyDescent="0.25">
      <c r="B847" s="146"/>
      <c r="C847" s="146"/>
      <c r="D847" s="146"/>
      <c r="E847" s="146"/>
      <c r="F847" s="146"/>
      <c r="G847" s="146"/>
    </row>
    <row r="848" spans="2:7" x14ac:dyDescent="0.25">
      <c r="B848" s="146"/>
      <c r="C848" s="146"/>
      <c r="D848" s="146"/>
      <c r="E848" s="146"/>
      <c r="F848" s="146"/>
      <c r="G848" s="146"/>
    </row>
    <row r="849" spans="2:7" x14ac:dyDescent="0.25">
      <c r="B849" s="146"/>
      <c r="C849" s="146"/>
      <c r="D849" s="146"/>
      <c r="E849" s="146"/>
      <c r="F849" s="146"/>
      <c r="G849" s="146"/>
    </row>
    <row r="850" spans="2:7" x14ac:dyDescent="0.25">
      <c r="B850" s="146"/>
      <c r="C850" s="146"/>
      <c r="D850" s="146"/>
      <c r="E850" s="146"/>
      <c r="F850" s="146"/>
      <c r="G850" s="146"/>
    </row>
    <row r="851" spans="2:7" x14ac:dyDescent="0.25">
      <c r="B851" s="146"/>
      <c r="C851" s="146"/>
      <c r="D851" s="146"/>
      <c r="E851" s="146"/>
      <c r="F851" s="146"/>
      <c r="G851" s="146"/>
    </row>
    <row r="852" spans="2:7" x14ac:dyDescent="0.25">
      <c r="B852" s="146"/>
      <c r="C852" s="146"/>
      <c r="D852" s="146"/>
      <c r="E852" s="146"/>
      <c r="F852" s="146"/>
      <c r="G852" s="146"/>
    </row>
    <row r="853" spans="2:7" x14ac:dyDescent="0.25">
      <c r="B853" s="146"/>
      <c r="C853" s="146"/>
      <c r="D853" s="146"/>
      <c r="E853" s="146"/>
      <c r="F853" s="146"/>
      <c r="G853" s="146"/>
    </row>
    <row r="854" spans="2:7" x14ac:dyDescent="0.25">
      <c r="B854" s="146"/>
      <c r="C854" s="146"/>
      <c r="D854" s="146"/>
      <c r="E854" s="146"/>
      <c r="F854" s="146"/>
      <c r="G854" s="146"/>
    </row>
    <row r="855" spans="2:7" x14ac:dyDescent="0.25">
      <c r="B855" s="146"/>
      <c r="C855" s="146"/>
      <c r="D855" s="146"/>
      <c r="E855" s="146"/>
      <c r="F855" s="146"/>
      <c r="G855" s="146"/>
    </row>
    <row r="856" spans="2:7" x14ac:dyDescent="0.25">
      <c r="B856" s="146"/>
      <c r="C856" s="146"/>
      <c r="D856" s="146"/>
      <c r="E856" s="146"/>
      <c r="F856" s="146"/>
      <c r="G856" s="146"/>
    </row>
    <row r="857" spans="2:7" x14ac:dyDescent="0.25">
      <c r="B857" s="146"/>
      <c r="C857" s="146"/>
      <c r="D857" s="146"/>
      <c r="E857" s="146"/>
      <c r="F857" s="146"/>
      <c r="G857" s="146"/>
    </row>
    <row r="858" spans="2:7" x14ac:dyDescent="0.25">
      <c r="B858" s="146"/>
      <c r="C858" s="146"/>
      <c r="D858" s="146"/>
      <c r="E858" s="146"/>
      <c r="F858" s="146"/>
      <c r="G858" s="146"/>
    </row>
    <row r="859" spans="2:7" x14ac:dyDescent="0.25">
      <c r="B859" s="146"/>
      <c r="C859" s="146"/>
      <c r="D859" s="146"/>
      <c r="E859" s="146"/>
      <c r="F859" s="146"/>
      <c r="G859" s="146"/>
    </row>
    <row r="860" spans="2:7" x14ac:dyDescent="0.25">
      <c r="B860" s="146"/>
      <c r="C860" s="146"/>
      <c r="D860" s="146"/>
      <c r="E860" s="146"/>
      <c r="F860" s="146"/>
      <c r="G860" s="146"/>
    </row>
    <row r="861" spans="2:7" x14ac:dyDescent="0.25">
      <c r="B861" s="146"/>
      <c r="C861" s="146"/>
      <c r="D861" s="146"/>
      <c r="E861" s="146"/>
      <c r="F861" s="146"/>
      <c r="G861" s="146"/>
    </row>
    <row r="862" spans="2:7" x14ac:dyDescent="0.25">
      <c r="B862" s="146"/>
      <c r="C862" s="146"/>
      <c r="D862" s="146"/>
      <c r="E862" s="146"/>
      <c r="F862" s="146"/>
      <c r="G862" s="146"/>
    </row>
    <row r="863" spans="2:7" x14ac:dyDescent="0.25">
      <c r="B863" s="146"/>
      <c r="C863" s="146"/>
      <c r="D863" s="146"/>
      <c r="E863" s="146"/>
      <c r="F863" s="146"/>
      <c r="G863" s="146"/>
    </row>
    <row r="864" spans="2:7" x14ac:dyDescent="0.25">
      <c r="B864" s="146"/>
      <c r="C864" s="146"/>
      <c r="D864" s="146"/>
      <c r="E864" s="146"/>
      <c r="F864" s="146"/>
      <c r="G864" s="146"/>
    </row>
    <row r="865" spans="2:7" x14ac:dyDescent="0.25">
      <c r="B865" s="146"/>
      <c r="C865" s="146"/>
      <c r="D865" s="146"/>
      <c r="E865" s="146"/>
      <c r="F865" s="146"/>
      <c r="G865" s="146"/>
    </row>
    <row r="866" spans="2:7" x14ac:dyDescent="0.25">
      <c r="B866" s="146"/>
      <c r="C866" s="146"/>
      <c r="D866" s="146"/>
      <c r="E866" s="146"/>
      <c r="F866" s="146"/>
      <c r="G866" s="146"/>
    </row>
    <row r="867" spans="2:7" x14ac:dyDescent="0.25">
      <c r="B867" s="146"/>
      <c r="C867" s="146"/>
      <c r="D867" s="146"/>
      <c r="E867" s="146"/>
      <c r="F867" s="146"/>
      <c r="G867" s="146"/>
    </row>
    <row r="868" spans="2:7" x14ac:dyDescent="0.25">
      <c r="B868" s="146"/>
      <c r="C868" s="146"/>
      <c r="D868" s="146"/>
      <c r="E868" s="146"/>
      <c r="F868" s="146"/>
      <c r="G868" s="146"/>
    </row>
    <row r="869" spans="2:7" x14ac:dyDescent="0.25">
      <c r="B869" s="146"/>
      <c r="C869" s="146"/>
      <c r="D869" s="146"/>
      <c r="E869" s="146"/>
      <c r="F869" s="146"/>
      <c r="G869" s="146"/>
    </row>
    <row r="870" spans="2:7" x14ac:dyDescent="0.25">
      <c r="B870" s="146"/>
      <c r="C870" s="146"/>
      <c r="D870" s="146"/>
      <c r="E870" s="146"/>
      <c r="F870" s="146"/>
      <c r="G870" s="146"/>
    </row>
    <row r="871" spans="2:7" x14ac:dyDescent="0.25">
      <c r="B871" s="146"/>
      <c r="C871" s="146"/>
      <c r="D871" s="146"/>
      <c r="E871" s="146"/>
      <c r="F871" s="146"/>
      <c r="G871" s="146"/>
    </row>
    <row r="872" spans="2:7" x14ac:dyDescent="0.25">
      <c r="B872" s="146"/>
      <c r="C872" s="146"/>
      <c r="D872" s="146"/>
      <c r="E872" s="146"/>
      <c r="F872" s="146"/>
      <c r="G872" s="146"/>
    </row>
    <row r="873" spans="2:7" x14ac:dyDescent="0.25">
      <c r="B873" s="146"/>
      <c r="C873" s="146"/>
      <c r="D873" s="146"/>
      <c r="E873" s="146"/>
      <c r="F873" s="146"/>
      <c r="G873" s="146"/>
    </row>
    <row r="874" spans="2:7" x14ac:dyDescent="0.25">
      <c r="B874" s="146"/>
      <c r="C874" s="146"/>
      <c r="D874" s="146"/>
      <c r="E874" s="146"/>
      <c r="F874" s="146"/>
      <c r="G874" s="146"/>
    </row>
    <row r="875" spans="2:7" x14ac:dyDescent="0.25">
      <c r="B875" s="146"/>
      <c r="C875" s="146"/>
      <c r="D875" s="146"/>
      <c r="E875" s="146"/>
      <c r="F875" s="146"/>
      <c r="G875" s="146"/>
    </row>
    <row r="876" spans="2:7" x14ac:dyDescent="0.25">
      <c r="B876" s="146"/>
      <c r="C876" s="146"/>
      <c r="D876" s="146"/>
      <c r="E876" s="146"/>
      <c r="F876" s="146"/>
      <c r="G876" s="146"/>
    </row>
    <row r="877" spans="2:7" x14ac:dyDescent="0.25">
      <c r="B877" s="146"/>
      <c r="C877" s="146"/>
      <c r="D877" s="146"/>
      <c r="E877" s="146"/>
      <c r="F877" s="146"/>
      <c r="G877" s="146"/>
    </row>
    <row r="878" spans="2:7" x14ac:dyDescent="0.25">
      <c r="B878" s="146"/>
      <c r="C878" s="146"/>
      <c r="D878" s="146"/>
      <c r="E878" s="146"/>
      <c r="F878" s="146"/>
      <c r="G878" s="146"/>
    </row>
    <row r="879" spans="2:7" x14ac:dyDescent="0.25">
      <c r="B879" s="146"/>
      <c r="C879" s="146"/>
      <c r="D879" s="146"/>
      <c r="E879" s="146"/>
      <c r="F879" s="146"/>
      <c r="G879" s="146"/>
    </row>
    <row r="880" spans="2:7" x14ac:dyDescent="0.25">
      <c r="B880" s="146"/>
      <c r="C880" s="146"/>
      <c r="D880" s="146"/>
      <c r="E880" s="146"/>
      <c r="F880" s="146"/>
      <c r="G880" s="146"/>
    </row>
    <row r="881" spans="2:7" x14ac:dyDescent="0.25">
      <c r="B881" s="146"/>
      <c r="C881" s="146"/>
      <c r="D881" s="146"/>
      <c r="E881" s="146"/>
      <c r="F881" s="146"/>
      <c r="G881" s="146"/>
    </row>
    <row r="882" spans="2:7" x14ac:dyDescent="0.25">
      <c r="B882" s="146"/>
      <c r="C882" s="146"/>
      <c r="D882" s="146"/>
      <c r="E882" s="146"/>
      <c r="F882" s="146"/>
      <c r="G882" s="146"/>
    </row>
    <row r="883" spans="2:7" x14ac:dyDescent="0.25">
      <c r="B883" s="146"/>
      <c r="C883" s="146"/>
      <c r="D883" s="146"/>
      <c r="E883" s="146"/>
      <c r="F883" s="146"/>
      <c r="G883" s="146"/>
    </row>
    <row r="884" spans="2:7" x14ac:dyDescent="0.25">
      <c r="B884" s="146"/>
      <c r="C884" s="146"/>
      <c r="D884" s="146"/>
      <c r="E884" s="146"/>
      <c r="F884" s="146"/>
      <c r="G884" s="146"/>
    </row>
    <row r="885" spans="2:7" x14ac:dyDescent="0.25">
      <c r="B885" s="146"/>
      <c r="C885" s="146"/>
      <c r="D885" s="146"/>
      <c r="E885" s="146"/>
      <c r="F885" s="146"/>
      <c r="G885" s="146"/>
    </row>
    <row r="886" spans="2:7" x14ac:dyDescent="0.25">
      <c r="B886" s="146"/>
      <c r="C886" s="146"/>
      <c r="D886" s="146"/>
      <c r="E886" s="146"/>
      <c r="F886" s="146"/>
      <c r="G886" s="146"/>
    </row>
    <row r="887" spans="2:7" x14ac:dyDescent="0.25">
      <c r="B887" s="146"/>
      <c r="C887" s="146"/>
      <c r="D887" s="146"/>
      <c r="E887" s="146"/>
      <c r="F887" s="146"/>
      <c r="G887" s="146"/>
    </row>
    <row r="888" spans="2:7" x14ac:dyDescent="0.25">
      <c r="B888" s="146"/>
      <c r="C888" s="146"/>
      <c r="D888" s="146"/>
      <c r="E888" s="146"/>
      <c r="F888" s="146"/>
      <c r="G888" s="146"/>
    </row>
    <row r="889" spans="2:7" x14ac:dyDescent="0.25">
      <c r="B889" s="146"/>
      <c r="C889" s="146"/>
      <c r="D889" s="146"/>
      <c r="E889" s="146"/>
      <c r="F889" s="146"/>
      <c r="G889" s="146"/>
    </row>
    <row r="890" spans="2:7" x14ac:dyDescent="0.25">
      <c r="B890" s="146"/>
      <c r="C890" s="146"/>
      <c r="D890" s="146"/>
      <c r="E890" s="146"/>
      <c r="F890" s="146"/>
      <c r="G890" s="146"/>
    </row>
    <row r="891" spans="2:7" x14ac:dyDescent="0.25">
      <c r="B891" s="146"/>
      <c r="C891" s="146"/>
      <c r="D891" s="146"/>
      <c r="E891" s="146"/>
      <c r="F891" s="146"/>
      <c r="G891" s="146"/>
    </row>
    <row r="892" spans="2:7" x14ac:dyDescent="0.25">
      <c r="B892" s="146"/>
      <c r="C892" s="146"/>
      <c r="D892" s="146"/>
      <c r="E892" s="146"/>
      <c r="F892" s="146"/>
      <c r="G892" s="146"/>
    </row>
    <row r="893" spans="2:7" x14ac:dyDescent="0.25">
      <c r="B893" s="146"/>
      <c r="C893" s="146"/>
      <c r="D893" s="146"/>
      <c r="E893" s="146"/>
      <c r="F893" s="146"/>
      <c r="G893" s="146"/>
    </row>
    <row r="894" spans="2:7" x14ac:dyDescent="0.25">
      <c r="B894" s="146"/>
      <c r="C894" s="146"/>
      <c r="D894" s="146"/>
      <c r="E894" s="146"/>
      <c r="F894" s="146"/>
      <c r="G894" s="146"/>
    </row>
    <row r="895" spans="2:7" x14ac:dyDescent="0.25">
      <c r="B895" s="146"/>
      <c r="C895" s="146"/>
      <c r="D895" s="146"/>
      <c r="E895" s="146"/>
      <c r="F895" s="146"/>
      <c r="G895" s="146"/>
    </row>
    <row r="896" spans="2:7" x14ac:dyDescent="0.25">
      <c r="B896" s="146"/>
      <c r="C896" s="146"/>
      <c r="D896" s="146"/>
      <c r="E896" s="146"/>
      <c r="F896" s="146"/>
      <c r="G896" s="146"/>
    </row>
    <row r="897" spans="2:7" x14ac:dyDescent="0.25">
      <c r="B897" s="146"/>
      <c r="C897" s="146"/>
      <c r="D897" s="146"/>
      <c r="E897" s="146"/>
      <c r="F897" s="146"/>
      <c r="G897" s="146"/>
    </row>
    <row r="898" spans="2:7" x14ac:dyDescent="0.25">
      <c r="B898" s="146"/>
      <c r="C898" s="146"/>
      <c r="D898" s="146"/>
      <c r="E898" s="146"/>
      <c r="F898" s="146"/>
      <c r="G898" s="146"/>
    </row>
    <row r="899" spans="2:7" x14ac:dyDescent="0.25">
      <c r="B899" s="146"/>
      <c r="C899" s="146"/>
      <c r="D899" s="146"/>
      <c r="E899" s="146"/>
      <c r="F899" s="146"/>
      <c r="G899" s="146"/>
    </row>
    <row r="900" spans="2:7" x14ac:dyDescent="0.25">
      <c r="B900" s="146"/>
      <c r="C900" s="146"/>
      <c r="D900" s="146"/>
      <c r="E900" s="146"/>
      <c r="F900" s="146"/>
      <c r="G900" s="146"/>
    </row>
    <row r="901" spans="2:7" x14ac:dyDescent="0.25">
      <c r="B901" s="146"/>
      <c r="C901" s="146"/>
      <c r="D901" s="146"/>
      <c r="E901" s="146"/>
      <c r="F901" s="146"/>
      <c r="G901" s="146"/>
    </row>
    <row r="902" spans="2:7" x14ac:dyDescent="0.25">
      <c r="B902" s="146"/>
      <c r="C902" s="146"/>
      <c r="D902" s="146"/>
      <c r="E902" s="146"/>
      <c r="F902" s="146"/>
      <c r="G902" s="146"/>
    </row>
    <row r="903" spans="2:7" x14ac:dyDescent="0.25">
      <c r="B903" s="146"/>
      <c r="C903" s="146"/>
      <c r="D903" s="146"/>
      <c r="E903" s="146"/>
      <c r="F903" s="146"/>
      <c r="G903" s="146"/>
    </row>
    <row r="904" spans="2:7" x14ac:dyDescent="0.25">
      <c r="B904" s="146"/>
      <c r="C904" s="146"/>
      <c r="D904" s="146"/>
      <c r="E904" s="146"/>
      <c r="F904" s="146"/>
      <c r="G904" s="146"/>
    </row>
    <row r="905" spans="2:7" x14ac:dyDescent="0.25">
      <c r="B905" s="146"/>
      <c r="C905" s="146"/>
      <c r="D905" s="146"/>
      <c r="E905" s="146"/>
      <c r="F905" s="146"/>
      <c r="G905" s="146"/>
    </row>
    <row r="906" spans="2:7" x14ac:dyDescent="0.25">
      <c r="B906" s="146"/>
      <c r="C906" s="146"/>
      <c r="D906" s="146"/>
      <c r="E906" s="146"/>
      <c r="F906" s="146"/>
      <c r="G906" s="146"/>
    </row>
    <row r="907" spans="2:7" x14ac:dyDescent="0.25">
      <c r="B907" s="146"/>
      <c r="C907" s="146"/>
      <c r="D907" s="146"/>
      <c r="E907" s="146"/>
      <c r="F907" s="146"/>
      <c r="G907" s="146"/>
    </row>
    <row r="908" spans="2:7" x14ac:dyDescent="0.25">
      <c r="B908" s="146"/>
      <c r="C908" s="146"/>
      <c r="D908" s="146"/>
      <c r="E908" s="146"/>
      <c r="F908" s="146"/>
      <c r="G908" s="146"/>
    </row>
    <row r="909" spans="2:7" x14ac:dyDescent="0.25">
      <c r="B909" s="146"/>
      <c r="C909" s="146"/>
      <c r="D909" s="146"/>
      <c r="E909" s="146"/>
      <c r="F909" s="146"/>
      <c r="G909" s="146"/>
    </row>
    <row r="910" spans="2:7" x14ac:dyDescent="0.25">
      <c r="B910" s="146"/>
      <c r="C910" s="146"/>
      <c r="D910" s="146"/>
      <c r="E910" s="146"/>
      <c r="F910" s="146"/>
      <c r="G910" s="146"/>
    </row>
    <row r="911" spans="2:7" x14ac:dyDescent="0.25">
      <c r="B911" s="146"/>
      <c r="C911" s="146"/>
      <c r="D911" s="146"/>
      <c r="E911" s="146"/>
      <c r="F911" s="146"/>
      <c r="G911" s="146"/>
    </row>
    <row r="912" spans="2:7" x14ac:dyDescent="0.25">
      <c r="B912" s="146"/>
      <c r="C912" s="146"/>
      <c r="D912" s="146"/>
      <c r="E912" s="146"/>
      <c r="F912" s="146"/>
      <c r="G912" s="146"/>
    </row>
  </sheetData>
  <mergeCells count="3">
    <mergeCell ref="B8:G8"/>
    <mergeCell ref="B11:G11"/>
    <mergeCell ref="B13:G13"/>
  </mergeCells>
  <pageMargins left="0.7" right="0.7" top="0.75" bottom="0.75" header="0.3" footer="0.3"/>
  <pageSetup paperSize="9" scale="1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18"/>
  <sheetViews>
    <sheetView tabSelected="1" zoomScale="90" zoomScaleNormal="90" workbookViewId="0">
      <selection activeCell="E11" sqref="E11"/>
    </sheetView>
  </sheetViews>
  <sheetFormatPr baseColWidth="10" defaultRowHeight="15" x14ac:dyDescent="0.25"/>
  <cols>
    <col min="1" max="1" width="2" customWidth="1"/>
    <col min="2" max="2" width="22.7109375" bestFit="1" customWidth="1"/>
    <col min="3" max="3" width="20.85546875" customWidth="1"/>
    <col min="4" max="4" width="26.140625" bestFit="1" customWidth="1"/>
    <col min="5" max="5" width="33.42578125" customWidth="1"/>
    <col min="7" max="7" width="47.42578125" customWidth="1"/>
    <col min="8" max="8" width="13" customWidth="1"/>
    <col min="9" max="9" width="18.28515625" customWidth="1"/>
    <col min="10" max="10" width="22.7109375" customWidth="1"/>
  </cols>
  <sheetData>
    <row r="1" spans="2:10" ht="15.75" x14ac:dyDescent="0.25">
      <c r="B1" s="202" t="s">
        <v>190</v>
      </c>
      <c r="C1" s="202"/>
      <c r="D1" s="202"/>
      <c r="E1" s="202"/>
      <c r="F1" s="202"/>
      <c r="G1" s="202"/>
      <c r="H1" s="202"/>
      <c r="I1" s="202"/>
      <c r="J1" s="202"/>
    </row>
    <row r="2" spans="2:10" x14ac:dyDescent="0.25">
      <c r="B2" s="56"/>
      <c r="C2" s="56"/>
      <c r="D2" s="56"/>
      <c r="E2" s="56"/>
      <c r="F2" s="56"/>
      <c r="G2" s="56"/>
      <c r="H2" s="56"/>
    </row>
    <row r="3" spans="2:10" ht="15.75" x14ac:dyDescent="0.25">
      <c r="B3" s="199" t="s">
        <v>135</v>
      </c>
      <c r="C3" s="199"/>
      <c r="D3" s="200"/>
      <c r="E3" s="200"/>
      <c r="F3" s="200"/>
      <c r="G3" s="200"/>
      <c r="H3" s="200"/>
      <c r="I3" s="200"/>
      <c r="J3" s="200"/>
    </row>
    <row r="4" spans="2:10" ht="15.75" x14ac:dyDescent="0.25">
      <c r="B4" s="199" t="s">
        <v>189</v>
      </c>
      <c r="C4" s="199"/>
      <c r="D4" s="200"/>
      <c r="E4" s="200"/>
      <c r="F4" s="200"/>
      <c r="G4" s="200"/>
      <c r="H4" s="200"/>
      <c r="I4" s="200"/>
      <c r="J4" s="200"/>
    </row>
    <row r="5" spans="2:10" ht="29.25" customHeight="1" x14ac:dyDescent="0.25">
      <c r="B5" s="199" t="s">
        <v>138</v>
      </c>
      <c r="C5" s="199"/>
      <c r="D5" s="200"/>
      <c r="E5" s="200"/>
      <c r="F5" s="200"/>
      <c r="G5" s="200"/>
      <c r="H5" s="200"/>
      <c r="I5" s="200"/>
      <c r="J5" s="200"/>
    </row>
    <row r="6" spans="2:10" ht="15.75" x14ac:dyDescent="0.25">
      <c r="B6" s="199" t="s">
        <v>134</v>
      </c>
      <c r="C6" s="199"/>
      <c r="D6" s="200"/>
      <c r="E6" s="200"/>
      <c r="F6" s="200"/>
      <c r="G6" s="200"/>
      <c r="H6" s="200"/>
      <c r="I6" s="200"/>
      <c r="J6" s="200"/>
    </row>
    <row r="8" spans="2:10" ht="15.75" x14ac:dyDescent="0.25">
      <c r="B8" s="147" t="s">
        <v>183</v>
      </c>
      <c r="C8" s="147"/>
      <c r="D8" s="147"/>
      <c r="E8" s="147"/>
      <c r="G8" s="201" t="s">
        <v>184</v>
      </c>
      <c r="H8" s="201"/>
      <c r="I8" s="201"/>
      <c r="J8" s="201"/>
    </row>
    <row r="10" spans="2:10" ht="45" x14ac:dyDescent="0.25">
      <c r="B10" s="148" t="s">
        <v>185</v>
      </c>
      <c r="C10" s="148" t="s">
        <v>165</v>
      </c>
      <c r="D10" s="149" t="s">
        <v>186</v>
      </c>
      <c r="E10" s="149" t="s">
        <v>187</v>
      </c>
      <c r="G10" s="148" t="s">
        <v>188</v>
      </c>
      <c r="H10" s="148" t="s">
        <v>165</v>
      </c>
      <c r="I10" s="149" t="s">
        <v>186</v>
      </c>
      <c r="J10" s="149" t="s">
        <v>187</v>
      </c>
    </row>
    <row r="11" spans="2:10" x14ac:dyDescent="0.25">
      <c r="B11" s="150"/>
      <c r="C11" s="150"/>
      <c r="D11" s="150"/>
      <c r="E11" s="150"/>
      <c r="G11" s="150"/>
      <c r="H11" s="150"/>
      <c r="I11" s="150"/>
      <c r="J11" s="150"/>
    </row>
    <row r="12" spans="2:10" x14ac:dyDescent="0.25">
      <c r="G12" s="150"/>
      <c r="H12" s="150"/>
      <c r="I12" s="150"/>
      <c r="J12" s="150"/>
    </row>
    <row r="13" spans="2:10" x14ac:dyDescent="0.25">
      <c r="G13" s="150"/>
      <c r="H13" s="150"/>
      <c r="I13" s="150"/>
      <c r="J13" s="150"/>
    </row>
    <row r="14" spans="2:10" x14ac:dyDescent="0.25">
      <c r="G14" s="150"/>
      <c r="H14" s="150"/>
      <c r="I14" s="150"/>
      <c r="J14" s="150"/>
    </row>
    <row r="15" spans="2:10" x14ac:dyDescent="0.25">
      <c r="G15" s="150"/>
      <c r="H15" s="150"/>
      <c r="I15" s="150"/>
      <c r="J15" s="150"/>
    </row>
    <row r="16" spans="2:10" x14ac:dyDescent="0.25">
      <c r="G16" s="166"/>
      <c r="H16" s="166"/>
      <c r="I16" s="166"/>
      <c r="J16" s="166"/>
    </row>
    <row r="17" spans="7:10" x14ac:dyDescent="0.25">
      <c r="G17" s="166"/>
      <c r="H17" s="166"/>
      <c r="I17" s="166"/>
      <c r="J17" s="166"/>
    </row>
    <row r="18" spans="7:10" x14ac:dyDescent="0.25">
      <c r="G18" s="166"/>
      <c r="H18" s="166"/>
      <c r="I18" s="166"/>
      <c r="J18" s="166"/>
    </row>
  </sheetData>
  <mergeCells count="10">
    <mergeCell ref="B6:C6"/>
    <mergeCell ref="D6:J6"/>
    <mergeCell ref="G8:J8"/>
    <mergeCell ref="B1:J1"/>
    <mergeCell ref="B3:C3"/>
    <mergeCell ref="D3:J3"/>
    <mergeCell ref="B4:C4"/>
    <mergeCell ref="D4:J4"/>
    <mergeCell ref="B5:C5"/>
    <mergeCell ref="D5:J5"/>
  </mergeCells>
  <pageMargins left="0.7" right="0.7" top="0.75" bottom="0.75" header="0.3" footer="0.3"/>
  <pageSetup paperSize="9" scale="1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G44"/>
  <sheetViews>
    <sheetView zoomScaleNormal="100" workbookViewId="0">
      <selection activeCell="D15" sqref="D15"/>
    </sheetView>
  </sheetViews>
  <sheetFormatPr baseColWidth="10" defaultRowHeight="12.75" x14ac:dyDescent="0.25"/>
  <cols>
    <col min="1" max="1" width="2" style="61" customWidth="1"/>
    <col min="2" max="2" width="44.140625" style="61" customWidth="1"/>
    <col min="3" max="58" width="11.85546875" style="61" customWidth="1"/>
    <col min="59" max="16384" width="11.42578125" style="61"/>
  </cols>
  <sheetData>
    <row r="1" spans="2:59" ht="50.25" customHeight="1" x14ac:dyDescent="0.25">
      <c r="B1" s="203" t="s">
        <v>96</v>
      </c>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56"/>
    </row>
    <row r="2" spans="2:59" x14ac:dyDescent="0.25">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row>
    <row r="3" spans="2:59" ht="15.75" x14ac:dyDescent="0.25">
      <c r="B3" s="209" t="s">
        <v>135</v>
      </c>
      <c r="C3" s="210"/>
      <c r="D3" s="212"/>
      <c r="E3" s="212"/>
      <c r="F3" s="212"/>
      <c r="G3" s="212"/>
      <c r="H3" s="212"/>
      <c r="I3" s="212"/>
      <c r="J3" s="212"/>
      <c r="K3" s="212"/>
      <c r="L3" s="212"/>
      <c r="M3" s="212"/>
      <c r="N3" s="212"/>
      <c r="O3" s="212"/>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row>
    <row r="4" spans="2:59" ht="15.75" x14ac:dyDescent="0.25">
      <c r="B4" s="209" t="s">
        <v>137</v>
      </c>
      <c r="C4" s="210"/>
      <c r="D4" s="212"/>
      <c r="E4" s="212"/>
      <c r="F4" s="212"/>
      <c r="G4" s="212"/>
      <c r="H4" s="212"/>
      <c r="I4" s="212"/>
      <c r="J4" s="212"/>
      <c r="K4" s="212"/>
      <c r="L4" s="212"/>
      <c r="M4" s="212"/>
      <c r="N4" s="212"/>
      <c r="O4" s="212"/>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row>
    <row r="5" spans="2:59" ht="15.75" x14ac:dyDescent="0.25">
      <c r="B5" s="209" t="s">
        <v>138</v>
      </c>
      <c r="C5" s="210"/>
      <c r="D5" s="212"/>
      <c r="E5" s="212"/>
      <c r="F5" s="212"/>
      <c r="G5" s="212"/>
      <c r="H5" s="212"/>
      <c r="I5" s="212"/>
      <c r="J5" s="212"/>
      <c r="K5" s="212"/>
      <c r="L5" s="212"/>
      <c r="M5" s="212"/>
      <c r="N5" s="212"/>
      <c r="O5" s="212"/>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row>
    <row r="6" spans="2:59" ht="15.75" x14ac:dyDescent="0.25">
      <c r="B6" s="209" t="s">
        <v>134</v>
      </c>
      <c r="C6" s="210"/>
      <c r="D6" s="212"/>
      <c r="E6" s="212"/>
      <c r="F6" s="212"/>
      <c r="G6" s="212"/>
      <c r="H6" s="212"/>
      <c r="I6" s="212"/>
      <c r="J6" s="212"/>
      <c r="K6" s="212"/>
      <c r="L6" s="212"/>
      <c r="M6" s="212"/>
      <c r="N6" s="212"/>
      <c r="O6" s="212"/>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row>
    <row r="7" spans="2:59" x14ac:dyDescent="0.25">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row>
    <row r="8" spans="2:59" ht="12.75" customHeight="1" x14ac:dyDescent="0.25">
      <c r="B8" s="201" t="s">
        <v>78</v>
      </c>
      <c r="C8" s="201"/>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c r="AE8" s="201"/>
      <c r="AF8" s="201"/>
      <c r="AG8" s="201"/>
      <c r="AH8" s="201"/>
      <c r="AI8" s="201"/>
      <c r="AJ8" s="201"/>
      <c r="AK8" s="201"/>
      <c r="AL8" s="201"/>
      <c r="AM8" s="201"/>
      <c r="AN8" s="201"/>
      <c r="AO8" s="201"/>
      <c r="AP8" s="201"/>
      <c r="AQ8" s="201"/>
      <c r="AR8" s="201"/>
      <c r="AS8" s="201"/>
      <c r="AT8" s="201"/>
      <c r="AU8" s="201"/>
      <c r="AV8" s="201"/>
      <c r="AW8" s="201"/>
      <c r="AX8" s="201"/>
      <c r="AY8" s="201"/>
      <c r="AZ8" s="201"/>
      <c r="BA8" s="201"/>
      <c r="BB8" s="201"/>
      <c r="BC8" s="201"/>
      <c r="BD8" s="201"/>
      <c r="BE8" s="201"/>
      <c r="BF8" s="201"/>
      <c r="BG8" s="56"/>
    </row>
    <row r="9" spans="2:59" ht="12.75" customHeight="1" x14ac:dyDescent="0.25">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row>
    <row r="10" spans="2:59" s="65" customFormat="1" ht="12.75" customHeight="1" x14ac:dyDescent="0.25">
      <c r="B10" s="62" t="s">
        <v>72</v>
      </c>
      <c r="C10" s="206" t="s">
        <v>97</v>
      </c>
      <c r="D10" s="207"/>
      <c r="E10" s="207"/>
      <c r="F10" s="207"/>
      <c r="G10" s="208"/>
      <c r="H10" s="204" t="s">
        <v>111</v>
      </c>
      <c r="I10" s="204"/>
      <c r="J10" s="204"/>
      <c r="K10" s="204"/>
      <c r="L10" s="204"/>
      <c r="M10" s="204" t="s">
        <v>112</v>
      </c>
      <c r="N10" s="204"/>
      <c r="O10" s="204"/>
      <c r="P10" s="204"/>
      <c r="Q10" s="204"/>
      <c r="R10" s="204" t="s">
        <v>113</v>
      </c>
      <c r="S10" s="204"/>
      <c r="T10" s="204"/>
      <c r="U10" s="204"/>
      <c r="V10" s="204"/>
      <c r="W10" s="204" t="s">
        <v>114</v>
      </c>
      <c r="X10" s="204"/>
      <c r="Y10" s="204"/>
      <c r="Z10" s="204"/>
      <c r="AA10" s="204"/>
      <c r="AB10" s="204" t="s">
        <v>115</v>
      </c>
      <c r="AC10" s="204"/>
      <c r="AD10" s="204"/>
      <c r="AE10" s="204"/>
      <c r="AF10" s="204"/>
      <c r="AG10" s="204" t="s">
        <v>116</v>
      </c>
      <c r="AH10" s="204"/>
      <c r="AI10" s="204"/>
      <c r="AJ10" s="204"/>
      <c r="AK10" s="204"/>
      <c r="AL10" s="204" t="s">
        <v>117</v>
      </c>
      <c r="AM10" s="204"/>
      <c r="AN10" s="204"/>
      <c r="AO10" s="204"/>
      <c r="AP10" s="204"/>
      <c r="AQ10" s="204" t="s">
        <v>118</v>
      </c>
      <c r="AR10" s="204"/>
      <c r="AS10" s="204"/>
      <c r="AT10" s="204"/>
      <c r="AU10" s="204"/>
      <c r="AV10" s="204" t="s">
        <v>119</v>
      </c>
      <c r="AW10" s="204"/>
      <c r="AX10" s="204"/>
      <c r="AY10" s="204"/>
      <c r="AZ10" s="204"/>
      <c r="BA10" s="204" t="s">
        <v>68</v>
      </c>
      <c r="BB10" s="204"/>
      <c r="BC10" s="204"/>
      <c r="BD10" s="204"/>
      <c r="BE10" s="204"/>
      <c r="BF10" s="205" t="s">
        <v>9</v>
      </c>
      <c r="BG10" s="64"/>
    </row>
    <row r="11" spans="2:59" s="68" customFormat="1" ht="12.75" customHeight="1" x14ac:dyDescent="0.25">
      <c r="B11" s="66" t="s">
        <v>33</v>
      </c>
      <c r="C11" s="66" t="s">
        <v>69</v>
      </c>
      <c r="D11" s="66" t="s">
        <v>70</v>
      </c>
      <c r="E11" s="66" t="s">
        <v>71</v>
      </c>
      <c r="F11" s="66" t="s">
        <v>79</v>
      </c>
      <c r="G11" s="66" t="s">
        <v>80</v>
      </c>
      <c r="H11" s="66" t="s">
        <v>69</v>
      </c>
      <c r="I11" s="66" t="s">
        <v>70</v>
      </c>
      <c r="J11" s="66" t="s">
        <v>71</v>
      </c>
      <c r="K11" s="66" t="s">
        <v>79</v>
      </c>
      <c r="L11" s="66" t="s">
        <v>80</v>
      </c>
      <c r="M11" s="66" t="s">
        <v>69</v>
      </c>
      <c r="N11" s="66" t="s">
        <v>70</v>
      </c>
      <c r="O11" s="66" t="s">
        <v>71</v>
      </c>
      <c r="P11" s="66" t="s">
        <v>79</v>
      </c>
      <c r="Q11" s="66" t="s">
        <v>80</v>
      </c>
      <c r="R11" s="66" t="s">
        <v>69</v>
      </c>
      <c r="S11" s="66" t="s">
        <v>70</v>
      </c>
      <c r="T11" s="66" t="s">
        <v>71</v>
      </c>
      <c r="U11" s="66" t="s">
        <v>79</v>
      </c>
      <c r="V11" s="66" t="s">
        <v>80</v>
      </c>
      <c r="W11" s="66" t="s">
        <v>69</v>
      </c>
      <c r="X11" s="66" t="s">
        <v>70</v>
      </c>
      <c r="Y11" s="66" t="s">
        <v>71</v>
      </c>
      <c r="Z11" s="66" t="s">
        <v>79</v>
      </c>
      <c r="AA11" s="66" t="s">
        <v>80</v>
      </c>
      <c r="AB11" s="66" t="s">
        <v>69</v>
      </c>
      <c r="AC11" s="66" t="s">
        <v>70</v>
      </c>
      <c r="AD11" s="66" t="s">
        <v>71</v>
      </c>
      <c r="AE11" s="66" t="s">
        <v>79</v>
      </c>
      <c r="AF11" s="66" t="s">
        <v>80</v>
      </c>
      <c r="AG11" s="66" t="s">
        <v>69</v>
      </c>
      <c r="AH11" s="66" t="s">
        <v>70</v>
      </c>
      <c r="AI11" s="66" t="s">
        <v>71</v>
      </c>
      <c r="AJ11" s="66" t="s">
        <v>79</v>
      </c>
      <c r="AK11" s="66" t="s">
        <v>80</v>
      </c>
      <c r="AL11" s="66" t="s">
        <v>69</v>
      </c>
      <c r="AM11" s="66" t="s">
        <v>70</v>
      </c>
      <c r="AN11" s="66" t="s">
        <v>71</v>
      </c>
      <c r="AO11" s="66" t="s">
        <v>79</v>
      </c>
      <c r="AP11" s="66" t="s">
        <v>80</v>
      </c>
      <c r="AQ11" s="66" t="s">
        <v>69</v>
      </c>
      <c r="AR11" s="66" t="s">
        <v>70</v>
      </c>
      <c r="AS11" s="66" t="s">
        <v>71</v>
      </c>
      <c r="AT11" s="66" t="s">
        <v>79</v>
      </c>
      <c r="AU11" s="66" t="s">
        <v>80</v>
      </c>
      <c r="AV11" s="66" t="s">
        <v>69</v>
      </c>
      <c r="AW11" s="66" t="s">
        <v>70</v>
      </c>
      <c r="AX11" s="66" t="s">
        <v>71</v>
      </c>
      <c r="AY11" s="66" t="s">
        <v>79</v>
      </c>
      <c r="AZ11" s="66" t="s">
        <v>80</v>
      </c>
      <c r="BA11" s="66" t="s">
        <v>69</v>
      </c>
      <c r="BB11" s="66" t="s">
        <v>70</v>
      </c>
      <c r="BC11" s="66" t="s">
        <v>71</v>
      </c>
      <c r="BD11" s="66" t="s">
        <v>79</v>
      </c>
      <c r="BE11" s="66" t="s">
        <v>80</v>
      </c>
      <c r="BF11" s="205"/>
      <c r="BG11" s="67"/>
    </row>
    <row r="12" spans="2:59" ht="12.75" customHeight="1" x14ac:dyDescent="0.25">
      <c r="B12" s="69" t="s">
        <v>1</v>
      </c>
      <c r="C12" s="51"/>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59">
        <f>SUM(C12,H12,M12,R12,W12,AB12,AG12,AL12,AQ12,AV12)</f>
        <v>0</v>
      </c>
      <c r="BB12" s="59">
        <f>SUM(D12,I12,N12,S12,X12,AC12,AH12,AM12,AR12,AW12)</f>
        <v>0</v>
      </c>
      <c r="BC12" s="59">
        <f>SUM(E12,J12,O12,T12,Y12,AD12,AI12,AN12,AS12,AX12)</f>
        <v>0</v>
      </c>
      <c r="BD12" s="59">
        <f>SUM(F12,K12,P12,U12,Z12,AE12,AJ12,AO12,AT12,AY12)</f>
        <v>0</v>
      </c>
      <c r="BE12" s="59">
        <f>SUM(G12,L12,Q12,V12,AA12,AF12,AK12,AP12,AU12,AZ12)</f>
        <v>0</v>
      </c>
      <c r="BF12" s="60">
        <f>SUM(BA12:BE12)</f>
        <v>0</v>
      </c>
      <c r="BG12" s="56"/>
    </row>
    <row r="13" spans="2:59" ht="12.75" customHeight="1" x14ac:dyDescent="0.25">
      <c r="B13" s="160" t="s">
        <v>194</v>
      </c>
      <c r="C13" s="71"/>
      <c r="D13" s="72"/>
      <c r="E13" s="72"/>
      <c r="F13" s="72"/>
      <c r="G13" s="72"/>
      <c r="H13" s="72"/>
      <c r="I13" s="72"/>
      <c r="J13" s="72"/>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59">
        <f t="shared" ref="BA13:BA24" si="0">SUM(C13,H13,M13,R13,W13,AB13,AG13,AL13,AQ13,AV13)</f>
        <v>0</v>
      </c>
      <c r="BB13" s="59">
        <f t="shared" ref="BB13:BB24" si="1">SUM(D13,I13,N13,S13,X13,AC13,AH13,AM13,AR13,AW13)</f>
        <v>0</v>
      </c>
      <c r="BC13" s="59">
        <f t="shared" ref="BC13:BC24" si="2">SUM(E13,J13,O13,T13,Y13,AD13,AI13,AN13,AS13,AX13)</f>
        <v>0</v>
      </c>
      <c r="BD13" s="59">
        <f t="shared" ref="BD13:BD24" si="3">SUM(F13,K13,P13,U13,Z13,AE13,AJ13,AO13,AT13,AY13)</f>
        <v>0</v>
      </c>
      <c r="BE13" s="59">
        <f t="shared" ref="BE13:BE24" si="4">SUM(G13,L13,Q13,V13,AA13,AF13,AK13,AP13,AU13,AZ13)</f>
        <v>0</v>
      </c>
      <c r="BF13" s="60">
        <f t="shared" ref="BF13:BF24" si="5">SUM(BA13:BE13)</f>
        <v>0</v>
      </c>
      <c r="BG13" s="56"/>
    </row>
    <row r="14" spans="2:59" ht="12.75" customHeight="1" x14ac:dyDescent="0.25">
      <c r="B14" s="69" t="s">
        <v>195</v>
      </c>
      <c r="C14" s="71"/>
      <c r="D14" s="72"/>
      <c r="E14" s="72"/>
      <c r="F14" s="72"/>
      <c r="G14" s="72"/>
      <c r="H14" s="72"/>
      <c r="I14" s="72"/>
      <c r="J14" s="72"/>
      <c r="K14" s="72"/>
      <c r="L14" s="72"/>
      <c r="M14" s="71"/>
      <c r="N14" s="72"/>
      <c r="O14" s="72"/>
      <c r="P14" s="72"/>
      <c r="Q14" s="72"/>
      <c r="R14" s="71"/>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59">
        <f t="shared" ref="BA14:BA15" si="6">SUM(C14,H14,M14,R14,W14,AB14,AG14,AL14,AQ14,AV14)</f>
        <v>0</v>
      </c>
      <c r="BB14" s="59">
        <f t="shared" ref="BB14:BB15" si="7">SUM(D14,I14,N14,S14,X14,AC14,AH14,AM14,AR14,AW14)</f>
        <v>0</v>
      </c>
      <c r="BC14" s="59">
        <f t="shared" ref="BC14:BC15" si="8">SUM(E14,J14,O14,T14,Y14,AD14,AI14,AN14,AS14,AX14)</f>
        <v>0</v>
      </c>
      <c r="BD14" s="59">
        <f t="shared" ref="BD14:BD15" si="9">SUM(F14,K14,P14,U14,Z14,AE14,AJ14,AO14,AT14,AY14)</f>
        <v>0</v>
      </c>
      <c r="BE14" s="59">
        <f t="shared" ref="BE14" si="10">SUM(G14,L14,Q14,V14,AA14,AF14,AK14,AP14,AU14,AZ14)</f>
        <v>0</v>
      </c>
      <c r="BF14" s="60">
        <f t="shared" ref="BF14:BF15" si="11">SUM(BA14:BE14)</f>
        <v>0</v>
      </c>
      <c r="BG14" s="56"/>
    </row>
    <row r="15" spans="2:59" ht="12.75" customHeight="1" x14ac:dyDescent="0.25">
      <c r="B15" s="69" t="s">
        <v>231</v>
      </c>
      <c r="C15" s="71"/>
      <c r="D15" s="72"/>
      <c r="E15" s="72"/>
      <c r="F15" s="72"/>
      <c r="G15" s="72"/>
      <c r="H15" s="72"/>
      <c r="I15" s="72"/>
      <c r="J15" s="72"/>
      <c r="K15" s="72"/>
      <c r="L15" s="72"/>
      <c r="M15" s="71"/>
      <c r="N15" s="72"/>
      <c r="O15" s="72"/>
      <c r="P15" s="72"/>
      <c r="Q15" s="72"/>
      <c r="R15" s="71"/>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59">
        <f t="shared" si="6"/>
        <v>0</v>
      </c>
      <c r="BB15" s="59">
        <f t="shared" si="7"/>
        <v>0</v>
      </c>
      <c r="BC15" s="59">
        <f t="shared" si="8"/>
        <v>0</v>
      </c>
      <c r="BD15" s="59">
        <f t="shared" si="9"/>
        <v>0</v>
      </c>
      <c r="BE15" s="59">
        <f>SUM(G15,L15,Q15,V15,AA15,AF15,AK15,AP15,AU15,AZ15)</f>
        <v>0</v>
      </c>
      <c r="BF15" s="60">
        <f t="shared" si="11"/>
        <v>0</v>
      </c>
      <c r="BG15" s="56"/>
    </row>
    <row r="16" spans="2:59" ht="12.75" customHeight="1" x14ac:dyDescent="0.25">
      <c r="B16" s="69" t="s">
        <v>230</v>
      </c>
      <c r="C16" s="71"/>
      <c r="D16" s="72"/>
      <c r="E16" s="72"/>
      <c r="F16" s="72"/>
      <c r="G16" s="72"/>
      <c r="H16" s="72"/>
      <c r="I16" s="72"/>
      <c r="J16" s="72"/>
      <c r="K16" s="72"/>
      <c r="L16" s="72"/>
      <c r="M16" s="71"/>
      <c r="N16" s="72"/>
      <c r="O16" s="72"/>
      <c r="P16" s="72"/>
      <c r="Q16" s="72"/>
      <c r="R16" s="71"/>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59">
        <f t="shared" si="0"/>
        <v>0</v>
      </c>
      <c r="BB16" s="59">
        <f t="shared" si="1"/>
        <v>0</v>
      </c>
      <c r="BC16" s="59">
        <f t="shared" si="2"/>
        <v>0</v>
      </c>
      <c r="BD16" s="59">
        <f t="shared" si="3"/>
        <v>0</v>
      </c>
      <c r="BE16" s="59">
        <f t="shared" si="4"/>
        <v>0</v>
      </c>
      <c r="BF16" s="60">
        <f t="shared" si="5"/>
        <v>0</v>
      </c>
      <c r="BG16" s="56"/>
    </row>
    <row r="17" spans="2:59" ht="12.75" customHeight="1" x14ac:dyDescent="0.25">
      <c r="B17" s="69" t="s">
        <v>50</v>
      </c>
      <c r="C17" s="71"/>
      <c r="D17" s="72"/>
      <c r="E17" s="72"/>
      <c r="F17" s="72"/>
      <c r="G17" s="72"/>
      <c r="H17" s="72"/>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59">
        <f t="shared" si="0"/>
        <v>0</v>
      </c>
      <c r="BB17" s="59">
        <f t="shared" si="1"/>
        <v>0</v>
      </c>
      <c r="BC17" s="59">
        <f t="shared" si="2"/>
        <v>0</v>
      </c>
      <c r="BD17" s="59">
        <f t="shared" si="3"/>
        <v>0</v>
      </c>
      <c r="BE17" s="59">
        <f t="shared" si="4"/>
        <v>0</v>
      </c>
      <c r="BF17" s="60">
        <f t="shared" si="5"/>
        <v>0</v>
      </c>
      <c r="BG17" s="56"/>
    </row>
    <row r="18" spans="2:59" ht="12.75" customHeight="1" x14ac:dyDescent="0.25">
      <c r="B18" s="69" t="s">
        <v>16</v>
      </c>
      <c r="C18" s="71"/>
      <c r="D18" s="72"/>
      <c r="E18" s="72"/>
      <c r="F18" s="72"/>
      <c r="G18" s="72"/>
      <c r="H18" s="72"/>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59">
        <f t="shared" si="0"/>
        <v>0</v>
      </c>
      <c r="BB18" s="59">
        <f t="shared" si="1"/>
        <v>0</v>
      </c>
      <c r="BC18" s="59">
        <f t="shared" si="2"/>
        <v>0</v>
      </c>
      <c r="BD18" s="59">
        <f t="shared" si="3"/>
        <v>0</v>
      </c>
      <c r="BE18" s="59">
        <f t="shared" si="4"/>
        <v>0</v>
      </c>
      <c r="BF18" s="60">
        <f t="shared" si="5"/>
        <v>0</v>
      </c>
      <c r="BG18" s="56"/>
    </row>
    <row r="19" spans="2:59" ht="12.75" customHeight="1" x14ac:dyDescent="0.25">
      <c r="B19" s="69" t="s">
        <v>3</v>
      </c>
      <c r="C19" s="71"/>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59">
        <f t="shared" si="0"/>
        <v>0</v>
      </c>
      <c r="BB19" s="59">
        <f t="shared" si="1"/>
        <v>0</v>
      </c>
      <c r="BC19" s="59">
        <f t="shared" si="2"/>
        <v>0</v>
      </c>
      <c r="BD19" s="59">
        <f t="shared" si="3"/>
        <v>0</v>
      </c>
      <c r="BE19" s="59">
        <f t="shared" si="4"/>
        <v>0</v>
      </c>
      <c r="BF19" s="60">
        <f t="shared" si="5"/>
        <v>0</v>
      </c>
      <c r="BG19" s="56"/>
    </row>
    <row r="20" spans="2:59" ht="12.75" customHeight="1" x14ac:dyDescent="0.25">
      <c r="B20" s="69" t="s">
        <v>4</v>
      </c>
      <c r="C20" s="71"/>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59">
        <f t="shared" si="0"/>
        <v>0</v>
      </c>
      <c r="BB20" s="59">
        <f t="shared" si="1"/>
        <v>0</v>
      </c>
      <c r="BC20" s="59">
        <f t="shared" si="2"/>
        <v>0</v>
      </c>
      <c r="BD20" s="59">
        <f t="shared" si="3"/>
        <v>0</v>
      </c>
      <c r="BE20" s="59">
        <f t="shared" si="4"/>
        <v>0</v>
      </c>
      <c r="BF20" s="60">
        <f t="shared" si="5"/>
        <v>0</v>
      </c>
      <c r="BG20" s="56"/>
    </row>
    <row r="21" spans="2:59" ht="12.75" customHeight="1" x14ac:dyDescent="0.25">
      <c r="B21" s="69" t="s">
        <v>17</v>
      </c>
      <c r="C21" s="71"/>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59">
        <f t="shared" si="0"/>
        <v>0</v>
      </c>
      <c r="BB21" s="59">
        <f t="shared" si="1"/>
        <v>0</v>
      </c>
      <c r="BC21" s="59">
        <f t="shared" si="2"/>
        <v>0</v>
      </c>
      <c r="BD21" s="59">
        <f t="shared" si="3"/>
        <v>0</v>
      </c>
      <c r="BE21" s="59">
        <f t="shared" si="4"/>
        <v>0</v>
      </c>
      <c r="BF21" s="60">
        <f t="shared" si="5"/>
        <v>0</v>
      </c>
      <c r="BG21" s="56"/>
    </row>
    <row r="22" spans="2:59" ht="12.75" customHeight="1" x14ac:dyDescent="0.25">
      <c r="B22" s="69" t="s">
        <v>18</v>
      </c>
      <c r="C22" s="71"/>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59">
        <f t="shared" si="0"/>
        <v>0</v>
      </c>
      <c r="BB22" s="59">
        <f t="shared" si="1"/>
        <v>0</v>
      </c>
      <c r="BC22" s="59">
        <f t="shared" si="2"/>
        <v>0</v>
      </c>
      <c r="BD22" s="59">
        <f t="shared" si="3"/>
        <v>0</v>
      </c>
      <c r="BE22" s="59">
        <f t="shared" si="4"/>
        <v>0</v>
      </c>
      <c r="BF22" s="60">
        <f t="shared" si="5"/>
        <v>0</v>
      </c>
      <c r="BG22" s="56"/>
    </row>
    <row r="23" spans="2:59" ht="12.75" customHeight="1" x14ac:dyDescent="0.25">
      <c r="B23" s="69" t="s">
        <v>5</v>
      </c>
      <c r="C23" s="71"/>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59">
        <f t="shared" si="0"/>
        <v>0</v>
      </c>
      <c r="BB23" s="59">
        <f t="shared" si="1"/>
        <v>0</v>
      </c>
      <c r="BC23" s="59">
        <f t="shared" si="2"/>
        <v>0</v>
      </c>
      <c r="BD23" s="59">
        <f t="shared" si="3"/>
        <v>0</v>
      </c>
      <c r="BE23" s="59">
        <f t="shared" si="4"/>
        <v>0</v>
      </c>
      <c r="BF23" s="60">
        <f t="shared" si="5"/>
        <v>0</v>
      </c>
      <c r="BG23" s="56"/>
    </row>
    <row r="24" spans="2:59" ht="12.75" customHeight="1" x14ac:dyDescent="0.25">
      <c r="B24" s="73" t="s">
        <v>21</v>
      </c>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58">
        <f t="shared" si="0"/>
        <v>0</v>
      </c>
      <c r="BB24" s="58">
        <f t="shared" si="1"/>
        <v>0</v>
      </c>
      <c r="BC24" s="58">
        <f t="shared" si="2"/>
        <v>0</v>
      </c>
      <c r="BD24" s="58">
        <f t="shared" si="3"/>
        <v>0</v>
      </c>
      <c r="BE24" s="58">
        <f t="shared" si="4"/>
        <v>0</v>
      </c>
      <c r="BF24" s="58">
        <f t="shared" si="5"/>
        <v>0</v>
      </c>
      <c r="BG24" s="56"/>
    </row>
    <row r="25" spans="2:59" ht="12.75" customHeight="1" x14ac:dyDescent="0.25">
      <c r="B25" s="75" t="s">
        <v>125</v>
      </c>
      <c r="C25" s="50">
        <f>SUM(C12:C23)</f>
        <v>0</v>
      </c>
      <c r="D25" s="50">
        <f t="shared" ref="D25:BF25" si="12">SUM(D12:D23)</f>
        <v>0</v>
      </c>
      <c r="E25" s="50">
        <f t="shared" si="12"/>
        <v>0</v>
      </c>
      <c r="F25" s="50">
        <f t="shared" si="12"/>
        <v>0</v>
      </c>
      <c r="G25" s="50">
        <f t="shared" si="12"/>
        <v>0</v>
      </c>
      <c r="H25" s="50">
        <f t="shared" si="12"/>
        <v>0</v>
      </c>
      <c r="I25" s="50">
        <f t="shared" si="12"/>
        <v>0</v>
      </c>
      <c r="J25" s="50">
        <f t="shared" si="12"/>
        <v>0</v>
      </c>
      <c r="K25" s="50">
        <f t="shared" si="12"/>
        <v>0</v>
      </c>
      <c r="L25" s="50">
        <f t="shared" si="12"/>
        <v>0</v>
      </c>
      <c r="M25" s="50">
        <f t="shared" si="12"/>
        <v>0</v>
      </c>
      <c r="N25" s="50">
        <f t="shared" si="12"/>
        <v>0</v>
      </c>
      <c r="O25" s="50">
        <f t="shared" si="12"/>
        <v>0</v>
      </c>
      <c r="P25" s="50">
        <f t="shared" si="12"/>
        <v>0</v>
      </c>
      <c r="Q25" s="50">
        <f t="shared" si="12"/>
        <v>0</v>
      </c>
      <c r="R25" s="50">
        <f t="shared" si="12"/>
        <v>0</v>
      </c>
      <c r="S25" s="50">
        <f t="shared" si="12"/>
        <v>0</v>
      </c>
      <c r="T25" s="50">
        <f t="shared" si="12"/>
        <v>0</v>
      </c>
      <c r="U25" s="50">
        <f t="shared" si="12"/>
        <v>0</v>
      </c>
      <c r="V25" s="50">
        <f t="shared" si="12"/>
        <v>0</v>
      </c>
      <c r="W25" s="50">
        <f t="shared" si="12"/>
        <v>0</v>
      </c>
      <c r="X25" s="50">
        <f t="shared" si="12"/>
        <v>0</v>
      </c>
      <c r="Y25" s="50">
        <f t="shared" si="12"/>
        <v>0</v>
      </c>
      <c r="Z25" s="50">
        <f t="shared" si="12"/>
        <v>0</v>
      </c>
      <c r="AA25" s="50">
        <f t="shared" si="12"/>
        <v>0</v>
      </c>
      <c r="AB25" s="50">
        <f t="shared" si="12"/>
        <v>0</v>
      </c>
      <c r="AC25" s="50">
        <f t="shared" si="12"/>
        <v>0</v>
      </c>
      <c r="AD25" s="50">
        <f t="shared" si="12"/>
        <v>0</v>
      </c>
      <c r="AE25" s="50">
        <f t="shared" si="12"/>
        <v>0</v>
      </c>
      <c r="AF25" s="50">
        <f t="shared" si="12"/>
        <v>0</v>
      </c>
      <c r="AG25" s="50">
        <f t="shared" si="12"/>
        <v>0</v>
      </c>
      <c r="AH25" s="50">
        <f t="shared" si="12"/>
        <v>0</v>
      </c>
      <c r="AI25" s="50">
        <f t="shared" si="12"/>
        <v>0</v>
      </c>
      <c r="AJ25" s="50">
        <f t="shared" si="12"/>
        <v>0</v>
      </c>
      <c r="AK25" s="50">
        <f t="shared" si="12"/>
        <v>0</v>
      </c>
      <c r="AL25" s="50">
        <f t="shared" si="12"/>
        <v>0</v>
      </c>
      <c r="AM25" s="50">
        <f t="shared" si="12"/>
        <v>0</v>
      </c>
      <c r="AN25" s="50">
        <f t="shared" si="12"/>
        <v>0</v>
      </c>
      <c r="AO25" s="50">
        <f t="shared" si="12"/>
        <v>0</v>
      </c>
      <c r="AP25" s="50">
        <f t="shared" si="12"/>
        <v>0</v>
      </c>
      <c r="AQ25" s="50">
        <f t="shared" si="12"/>
        <v>0</v>
      </c>
      <c r="AR25" s="50">
        <f t="shared" si="12"/>
        <v>0</v>
      </c>
      <c r="AS25" s="50">
        <f t="shared" si="12"/>
        <v>0</v>
      </c>
      <c r="AT25" s="50">
        <f t="shared" si="12"/>
        <v>0</v>
      </c>
      <c r="AU25" s="50">
        <f t="shared" si="12"/>
        <v>0</v>
      </c>
      <c r="AV25" s="50">
        <f t="shared" si="12"/>
        <v>0</v>
      </c>
      <c r="AW25" s="50">
        <f t="shared" si="12"/>
        <v>0</v>
      </c>
      <c r="AX25" s="50">
        <f t="shared" si="12"/>
        <v>0</v>
      </c>
      <c r="AY25" s="50">
        <f t="shared" si="12"/>
        <v>0</v>
      </c>
      <c r="AZ25" s="50">
        <f t="shared" si="12"/>
        <v>0</v>
      </c>
      <c r="BA25" s="60">
        <f>SUM(BA12:BA23)</f>
        <v>0</v>
      </c>
      <c r="BB25" s="60">
        <f>SUM(BB12:BB23)</f>
        <v>0</v>
      </c>
      <c r="BC25" s="60">
        <f>SUM(BC12:BC23)</f>
        <v>0</v>
      </c>
      <c r="BD25" s="60">
        <f>SUM(BD12:BD23)</f>
        <v>0</v>
      </c>
      <c r="BE25" s="60">
        <f>SUM(BE12:BE23)</f>
        <v>0</v>
      </c>
      <c r="BF25" s="60">
        <f t="shared" si="12"/>
        <v>0</v>
      </c>
      <c r="BG25" s="56"/>
    </row>
    <row r="26" spans="2:59" ht="12.75" customHeight="1" x14ac:dyDescent="0.25">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row>
    <row r="27" spans="2:59" ht="12.75" customHeight="1" x14ac:dyDescent="0.25">
      <c r="B27" s="211"/>
      <c r="C27" s="206" t="s">
        <v>94</v>
      </c>
      <c r="D27" s="207"/>
      <c r="E27" s="207"/>
      <c r="F27" s="207"/>
      <c r="G27" s="207"/>
      <c r="H27" s="208"/>
      <c r="I27" s="206" t="s">
        <v>94</v>
      </c>
      <c r="J27" s="207"/>
      <c r="K27" s="207"/>
      <c r="L27" s="207"/>
      <c r="M27" s="207"/>
      <c r="N27" s="208"/>
      <c r="O27" s="213" t="s">
        <v>9</v>
      </c>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row>
    <row r="28" spans="2:59" ht="12.75" customHeight="1" x14ac:dyDescent="0.25">
      <c r="B28" s="211"/>
      <c r="C28" s="66" t="s">
        <v>69</v>
      </c>
      <c r="D28" s="66" t="s">
        <v>70</v>
      </c>
      <c r="E28" s="66" t="s">
        <v>71</v>
      </c>
      <c r="F28" s="66" t="s">
        <v>79</v>
      </c>
      <c r="G28" s="66" t="s">
        <v>80</v>
      </c>
      <c r="H28" s="219" t="s">
        <v>95</v>
      </c>
      <c r="I28" s="66" t="s">
        <v>69</v>
      </c>
      <c r="J28" s="66" t="s">
        <v>70</v>
      </c>
      <c r="K28" s="66" t="s">
        <v>71</v>
      </c>
      <c r="L28" s="66" t="s">
        <v>79</v>
      </c>
      <c r="M28" s="66" t="s">
        <v>80</v>
      </c>
      <c r="N28" s="219" t="s">
        <v>65</v>
      </c>
      <c r="O28" s="214"/>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row>
    <row r="29" spans="2:59" ht="12.75" customHeight="1" x14ac:dyDescent="0.25">
      <c r="B29" s="76"/>
      <c r="C29" s="216" t="s">
        <v>66</v>
      </c>
      <c r="D29" s="217"/>
      <c r="E29" s="217"/>
      <c r="F29" s="217"/>
      <c r="G29" s="218"/>
      <c r="H29" s="219"/>
      <c r="I29" s="216" t="s">
        <v>67</v>
      </c>
      <c r="J29" s="217"/>
      <c r="K29" s="217"/>
      <c r="L29" s="217"/>
      <c r="M29" s="218"/>
      <c r="N29" s="219"/>
      <c r="O29" s="215"/>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row>
    <row r="30" spans="2:59" ht="12.75" customHeight="1" x14ac:dyDescent="0.25">
      <c r="B30" s="69" t="s">
        <v>1</v>
      </c>
      <c r="C30" s="77"/>
      <c r="D30" s="51"/>
      <c r="E30" s="51"/>
      <c r="F30" s="51"/>
      <c r="G30" s="51"/>
      <c r="H30" s="50">
        <f t="shared" ref="H30:H43" si="13">SUM(C30:G30)</f>
        <v>0</v>
      </c>
      <c r="I30" s="51"/>
      <c r="J30" s="51"/>
      <c r="K30" s="51"/>
      <c r="L30" s="51"/>
      <c r="M30" s="51"/>
      <c r="N30" s="50">
        <f t="shared" ref="N30:N43" si="14">SUM(I30:M30)</f>
        <v>0</v>
      </c>
      <c r="O30" s="50">
        <f>SUM(H30,N30)</f>
        <v>0</v>
      </c>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row>
    <row r="31" spans="2:59" ht="12.75" customHeight="1" x14ac:dyDescent="0.25">
      <c r="B31" s="160" t="s">
        <v>194</v>
      </c>
      <c r="C31" s="77"/>
      <c r="D31" s="51"/>
      <c r="E31" s="51"/>
      <c r="F31" s="51"/>
      <c r="G31" s="51"/>
      <c r="H31" s="50">
        <f t="shared" si="13"/>
        <v>0</v>
      </c>
      <c r="I31" s="51"/>
      <c r="J31" s="51"/>
      <c r="K31" s="51"/>
      <c r="L31" s="51"/>
      <c r="M31" s="51"/>
      <c r="N31" s="50">
        <f t="shared" si="14"/>
        <v>0</v>
      </c>
      <c r="O31" s="50">
        <f t="shared" ref="O31:O43" si="15">SUM(H31,N31)</f>
        <v>0</v>
      </c>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row>
    <row r="32" spans="2:59" ht="12.75" customHeight="1" x14ac:dyDescent="0.25">
      <c r="B32" s="69" t="s">
        <v>195</v>
      </c>
      <c r="C32" s="77"/>
      <c r="D32" s="51"/>
      <c r="E32" s="51"/>
      <c r="F32" s="51"/>
      <c r="G32" s="51"/>
      <c r="H32" s="50">
        <f t="shared" si="13"/>
        <v>0</v>
      </c>
      <c r="I32" s="51"/>
      <c r="J32" s="51"/>
      <c r="K32" s="51"/>
      <c r="L32" s="51"/>
      <c r="M32" s="51"/>
      <c r="N32" s="50">
        <f t="shared" si="14"/>
        <v>0</v>
      </c>
      <c r="O32" s="50">
        <f t="shared" si="15"/>
        <v>0</v>
      </c>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row>
    <row r="33" spans="2:59" ht="12.75" customHeight="1" x14ac:dyDescent="0.25">
      <c r="B33" s="69" t="s">
        <v>231</v>
      </c>
      <c r="C33" s="77"/>
      <c r="D33" s="51"/>
      <c r="E33" s="51"/>
      <c r="F33" s="51"/>
      <c r="G33" s="51"/>
      <c r="H33" s="50">
        <f t="shared" si="13"/>
        <v>0</v>
      </c>
      <c r="I33" s="51"/>
      <c r="J33" s="51"/>
      <c r="K33" s="51"/>
      <c r="L33" s="51"/>
      <c r="M33" s="51"/>
      <c r="N33" s="50">
        <f t="shared" ref="N33" si="16">SUM(I33:M33)</f>
        <v>0</v>
      </c>
      <c r="O33" s="50">
        <f t="shared" si="15"/>
        <v>0</v>
      </c>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row>
    <row r="34" spans="2:59" ht="12.75" customHeight="1" x14ac:dyDescent="0.25">
      <c r="B34" s="69" t="s">
        <v>230</v>
      </c>
      <c r="C34" s="77"/>
      <c r="D34" s="51"/>
      <c r="E34" s="51"/>
      <c r="F34" s="51"/>
      <c r="G34" s="51"/>
      <c r="H34" s="50">
        <f t="shared" si="13"/>
        <v>0</v>
      </c>
      <c r="I34" s="51"/>
      <c r="J34" s="51"/>
      <c r="K34" s="51"/>
      <c r="L34" s="51"/>
      <c r="M34" s="51"/>
      <c r="N34" s="50">
        <f t="shared" si="14"/>
        <v>0</v>
      </c>
      <c r="O34" s="50">
        <f t="shared" si="15"/>
        <v>0</v>
      </c>
      <c r="P34" s="56"/>
      <c r="Q34" s="56"/>
      <c r="R34" s="78"/>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row>
    <row r="35" spans="2:59" ht="12.75" customHeight="1" x14ac:dyDescent="0.25">
      <c r="B35" s="69" t="s">
        <v>50</v>
      </c>
      <c r="C35" s="77"/>
      <c r="D35" s="51"/>
      <c r="E35" s="51"/>
      <c r="F35" s="51"/>
      <c r="G35" s="51"/>
      <c r="H35" s="50">
        <f t="shared" si="13"/>
        <v>0</v>
      </c>
      <c r="I35" s="51"/>
      <c r="J35" s="51"/>
      <c r="K35" s="51"/>
      <c r="L35" s="51"/>
      <c r="M35" s="51"/>
      <c r="N35" s="50">
        <f t="shared" si="14"/>
        <v>0</v>
      </c>
      <c r="O35" s="50">
        <f t="shared" si="15"/>
        <v>0</v>
      </c>
      <c r="P35" s="56"/>
      <c r="Q35" s="56"/>
      <c r="R35" s="79"/>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row>
    <row r="36" spans="2:59" ht="12.75" customHeight="1" x14ac:dyDescent="0.25">
      <c r="B36" s="69" t="s">
        <v>16</v>
      </c>
      <c r="C36" s="77"/>
      <c r="D36" s="51"/>
      <c r="E36" s="51"/>
      <c r="F36" s="51"/>
      <c r="G36" s="51"/>
      <c r="H36" s="50">
        <f t="shared" si="13"/>
        <v>0</v>
      </c>
      <c r="I36" s="51"/>
      <c r="J36" s="51"/>
      <c r="K36" s="51"/>
      <c r="L36" s="51"/>
      <c r="M36" s="51"/>
      <c r="N36" s="50">
        <f t="shared" si="14"/>
        <v>0</v>
      </c>
      <c r="O36" s="50">
        <f t="shared" si="15"/>
        <v>0</v>
      </c>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row>
    <row r="37" spans="2:59" ht="12.75" customHeight="1" x14ac:dyDescent="0.25">
      <c r="B37" s="69" t="s">
        <v>3</v>
      </c>
      <c r="C37" s="77"/>
      <c r="D37" s="51"/>
      <c r="E37" s="51"/>
      <c r="F37" s="51"/>
      <c r="G37" s="51"/>
      <c r="H37" s="50">
        <f t="shared" si="13"/>
        <v>0</v>
      </c>
      <c r="I37" s="51"/>
      <c r="J37" s="51"/>
      <c r="K37" s="51"/>
      <c r="L37" s="51"/>
      <c r="M37" s="51"/>
      <c r="N37" s="50">
        <f t="shared" si="14"/>
        <v>0</v>
      </c>
      <c r="O37" s="50">
        <f t="shared" si="15"/>
        <v>0</v>
      </c>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row>
    <row r="38" spans="2:59" ht="12.75" customHeight="1" x14ac:dyDescent="0.25">
      <c r="B38" s="69" t="s">
        <v>4</v>
      </c>
      <c r="C38" s="77"/>
      <c r="D38" s="51"/>
      <c r="E38" s="51"/>
      <c r="F38" s="51"/>
      <c r="G38" s="51"/>
      <c r="H38" s="50">
        <f t="shared" si="13"/>
        <v>0</v>
      </c>
      <c r="I38" s="51"/>
      <c r="J38" s="51"/>
      <c r="K38" s="51"/>
      <c r="L38" s="51"/>
      <c r="M38" s="51"/>
      <c r="N38" s="50">
        <f t="shared" si="14"/>
        <v>0</v>
      </c>
      <c r="O38" s="50">
        <f t="shared" si="15"/>
        <v>0</v>
      </c>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row>
    <row r="39" spans="2:59" ht="12.75" customHeight="1" x14ac:dyDescent="0.25">
      <c r="B39" s="69" t="s">
        <v>17</v>
      </c>
      <c r="C39" s="77"/>
      <c r="D39" s="51"/>
      <c r="E39" s="51"/>
      <c r="F39" s="51"/>
      <c r="G39" s="51"/>
      <c r="H39" s="50">
        <f t="shared" si="13"/>
        <v>0</v>
      </c>
      <c r="I39" s="51"/>
      <c r="J39" s="51"/>
      <c r="K39" s="51"/>
      <c r="L39" s="51"/>
      <c r="M39" s="51"/>
      <c r="N39" s="50">
        <f t="shared" si="14"/>
        <v>0</v>
      </c>
      <c r="O39" s="50">
        <f t="shared" si="15"/>
        <v>0</v>
      </c>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row>
    <row r="40" spans="2:59" ht="12.75" customHeight="1" x14ac:dyDescent="0.25">
      <c r="B40" s="69" t="s">
        <v>18</v>
      </c>
      <c r="C40" s="77"/>
      <c r="D40" s="51"/>
      <c r="E40" s="51"/>
      <c r="F40" s="51"/>
      <c r="G40" s="51"/>
      <c r="H40" s="50">
        <f t="shared" si="13"/>
        <v>0</v>
      </c>
      <c r="I40" s="51"/>
      <c r="J40" s="51"/>
      <c r="K40" s="51"/>
      <c r="L40" s="51"/>
      <c r="M40" s="51"/>
      <c r="N40" s="50">
        <f t="shared" si="14"/>
        <v>0</v>
      </c>
      <c r="O40" s="50">
        <f t="shared" si="15"/>
        <v>0</v>
      </c>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row>
    <row r="41" spans="2:59" ht="12.75" customHeight="1" x14ac:dyDescent="0.25">
      <c r="B41" s="69" t="s">
        <v>5</v>
      </c>
      <c r="C41" s="77"/>
      <c r="D41" s="51"/>
      <c r="E41" s="51"/>
      <c r="F41" s="51"/>
      <c r="G41" s="51"/>
      <c r="H41" s="50">
        <f t="shared" si="13"/>
        <v>0</v>
      </c>
      <c r="I41" s="51"/>
      <c r="J41" s="51"/>
      <c r="K41" s="51"/>
      <c r="L41" s="51"/>
      <c r="M41" s="51"/>
      <c r="N41" s="50">
        <f t="shared" si="14"/>
        <v>0</v>
      </c>
      <c r="O41" s="50">
        <f t="shared" si="15"/>
        <v>0</v>
      </c>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row>
    <row r="42" spans="2:59" ht="12.75" customHeight="1" x14ac:dyDescent="0.25">
      <c r="B42" s="73" t="s">
        <v>21</v>
      </c>
      <c r="C42" s="80"/>
      <c r="D42" s="80"/>
      <c r="E42" s="80"/>
      <c r="F42" s="80"/>
      <c r="G42" s="80"/>
      <c r="H42" s="80">
        <f t="shared" si="13"/>
        <v>0</v>
      </c>
      <c r="I42" s="80"/>
      <c r="J42" s="80"/>
      <c r="K42" s="80"/>
      <c r="L42" s="80"/>
      <c r="M42" s="80"/>
      <c r="N42" s="80">
        <f t="shared" si="14"/>
        <v>0</v>
      </c>
      <c r="O42" s="175">
        <f t="shared" si="15"/>
        <v>0</v>
      </c>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row>
    <row r="43" spans="2:59" ht="12.75" customHeight="1" x14ac:dyDescent="0.25">
      <c r="B43" s="75" t="s">
        <v>125</v>
      </c>
      <c r="C43" s="57">
        <f>SUM(C30:C41)</f>
        <v>0</v>
      </c>
      <c r="D43" s="57">
        <f t="shared" ref="D43:G43" si="17">SUM(D30:D41)</f>
        <v>0</v>
      </c>
      <c r="E43" s="57">
        <f t="shared" si="17"/>
        <v>0</v>
      </c>
      <c r="F43" s="57">
        <f t="shared" si="17"/>
        <v>0</v>
      </c>
      <c r="G43" s="57">
        <f t="shared" si="17"/>
        <v>0</v>
      </c>
      <c r="H43" s="50">
        <f t="shared" si="13"/>
        <v>0</v>
      </c>
      <c r="I43" s="57">
        <f>SUM(I30:I41)</f>
        <v>0</v>
      </c>
      <c r="J43" s="57">
        <f>SUM(J30:J41)</f>
        <v>0</v>
      </c>
      <c r="K43" s="57">
        <f>SUM(K30:K41)</f>
        <v>0</v>
      </c>
      <c r="L43" s="57">
        <f>SUM(L30:L41)</f>
        <v>0</v>
      </c>
      <c r="M43" s="57">
        <f>SUM(M30:M41)</f>
        <v>0</v>
      </c>
      <c r="N43" s="50">
        <f t="shared" si="14"/>
        <v>0</v>
      </c>
      <c r="O43" s="50">
        <f t="shared" si="15"/>
        <v>0</v>
      </c>
      <c r="Q43" s="56"/>
      <c r="R43" s="79"/>
      <c r="S43" s="78"/>
      <c r="T43" s="78"/>
      <c r="U43" s="78"/>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row>
    <row r="44" spans="2:59" x14ac:dyDescent="0.25">
      <c r="B44" s="56"/>
      <c r="C44" s="56"/>
      <c r="D44" s="56"/>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row>
  </sheetData>
  <mergeCells count="30">
    <mergeCell ref="B27:B28"/>
    <mergeCell ref="B5:C5"/>
    <mergeCell ref="B6:C6"/>
    <mergeCell ref="D3:O3"/>
    <mergeCell ref="D4:O4"/>
    <mergeCell ref="D5:O5"/>
    <mergeCell ref="D6:O6"/>
    <mergeCell ref="O27:O29"/>
    <mergeCell ref="I29:M29"/>
    <mergeCell ref="C27:H27"/>
    <mergeCell ref="H28:H29"/>
    <mergeCell ref="C29:G29"/>
    <mergeCell ref="I27:N27"/>
    <mergeCell ref="N28:N29"/>
    <mergeCell ref="B1:BF1"/>
    <mergeCell ref="B8:BF8"/>
    <mergeCell ref="AB10:AF10"/>
    <mergeCell ref="AG10:AK10"/>
    <mergeCell ref="AL10:AP10"/>
    <mergeCell ref="AQ10:AU10"/>
    <mergeCell ref="M10:Q10"/>
    <mergeCell ref="R10:V10"/>
    <mergeCell ref="W10:AA10"/>
    <mergeCell ref="BA10:BE10"/>
    <mergeCell ref="AV10:AZ10"/>
    <mergeCell ref="BF10:BF11"/>
    <mergeCell ref="C10:G10"/>
    <mergeCell ref="H10:L10"/>
    <mergeCell ref="B3:C3"/>
    <mergeCell ref="B4:C4"/>
  </mergeCells>
  <pageMargins left="0.7" right="0.7" top="0.75" bottom="0.75" header="0.3" footer="0.3"/>
  <pageSetup paperSize="9" scale="10" fitToHeight="0" orientation="landscape" horizontalDpi="90" verticalDpi="90" r:id="rId1"/>
  <ignoredErrors>
    <ignoredError sqref="H43 N4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G52"/>
  <sheetViews>
    <sheetView zoomScaleNormal="100" workbookViewId="0">
      <selection activeCell="O47" sqref="O47"/>
    </sheetView>
  </sheetViews>
  <sheetFormatPr baseColWidth="10" defaultRowHeight="12.75" x14ac:dyDescent="0.25"/>
  <cols>
    <col min="1" max="1" width="2.28515625" style="61" customWidth="1"/>
    <col min="2" max="2" width="44.140625" style="61" customWidth="1"/>
    <col min="3" max="58" width="11.85546875" style="61" customWidth="1"/>
    <col min="59" max="16384" width="11.42578125" style="61"/>
  </cols>
  <sheetData>
    <row r="1" spans="2:59" ht="28.5" customHeight="1" x14ac:dyDescent="0.25">
      <c r="B1" s="203" t="s">
        <v>96</v>
      </c>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56"/>
    </row>
    <row r="2" spans="2:59" s="56" customFormat="1" ht="19.5" customHeight="1" x14ac:dyDescent="0.25">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row>
    <row r="3" spans="2:59" ht="15.75" x14ac:dyDescent="0.25">
      <c r="B3" s="209" t="s">
        <v>135</v>
      </c>
      <c r="C3" s="210"/>
      <c r="D3" s="212"/>
      <c r="E3" s="212"/>
      <c r="F3" s="212"/>
      <c r="G3" s="212"/>
      <c r="H3" s="212"/>
      <c r="I3" s="212"/>
      <c r="J3" s="212"/>
      <c r="K3" s="212"/>
      <c r="L3" s="212"/>
      <c r="M3" s="212"/>
      <c r="N3" s="212"/>
      <c r="O3" s="212"/>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row>
    <row r="4" spans="2:59" ht="15.75" x14ac:dyDescent="0.25">
      <c r="B4" s="209" t="s">
        <v>137</v>
      </c>
      <c r="C4" s="210"/>
      <c r="D4" s="212"/>
      <c r="E4" s="212"/>
      <c r="F4" s="212"/>
      <c r="G4" s="212"/>
      <c r="H4" s="212"/>
      <c r="I4" s="212"/>
      <c r="J4" s="212"/>
      <c r="K4" s="212"/>
      <c r="L4" s="212"/>
      <c r="M4" s="212"/>
      <c r="N4" s="212"/>
      <c r="O4" s="212"/>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row>
    <row r="5" spans="2:59" ht="15.75" x14ac:dyDescent="0.25">
      <c r="B5" s="209" t="s">
        <v>138</v>
      </c>
      <c r="C5" s="210"/>
      <c r="D5" s="212"/>
      <c r="E5" s="212"/>
      <c r="F5" s="212"/>
      <c r="G5" s="212"/>
      <c r="H5" s="212"/>
      <c r="I5" s="212"/>
      <c r="J5" s="212"/>
      <c r="K5" s="212"/>
      <c r="L5" s="212"/>
      <c r="M5" s="212"/>
      <c r="N5" s="212"/>
      <c r="O5" s="212"/>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row>
    <row r="6" spans="2:59" ht="15.75" x14ac:dyDescent="0.25">
      <c r="B6" s="209" t="s">
        <v>134</v>
      </c>
      <c r="C6" s="210"/>
      <c r="D6" s="212"/>
      <c r="E6" s="212"/>
      <c r="F6" s="212"/>
      <c r="G6" s="212"/>
      <c r="H6" s="212"/>
      <c r="I6" s="212"/>
      <c r="J6" s="212"/>
      <c r="K6" s="212"/>
      <c r="L6" s="212"/>
      <c r="M6" s="212"/>
      <c r="N6" s="212"/>
      <c r="O6" s="212"/>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row>
    <row r="7" spans="2:59" x14ac:dyDescent="0.25">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row>
    <row r="8" spans="2:59" ht="12.75" customHeight="1" x14ac:dyDescent="0.25">
      <c r="B8" s="201" t="s">
        <v>78</v>
      </c>
      <c r="C8" s="201"/>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c r="AE8" s="201"/>
      <c r="AF8" s="201"/>
      <c r="AG8" s="201"/>
      <c r="AH8" s="201"/>
      <c r="AI8" s="201"/>
      <c r="AJ8" s="201"/>
      <c r="AK8" s="201"/>
      <c r="AL8" s="201"/>
      <c r="AM8" s="201"/>
      <c r="AN8" s="201"/>
      <c r="AO8" s="201"/>
      <c r="AP8" s="201"/>
      <c r="AQ8" s="201"/>
      <c r="AR8" s="201"/>
      <c r="AS8" s="201"/>
      <c r="AT8" s="201"/>
      <c r="AU8" s="201"/>
      <c r="AV8" s="201"/>
      <c r="AW8" s="201"/>
      <c r="AX8" s="201"/>
      <c r="AY8" s="201"/>
      <c r="AZ8" s="201"/>
      <c r="BA8" s="201"/>
      <c r="BB8" s="201"/>
      <c r="BC8" s="201"/>
      <c r="BD8" s="201"/>
      <c r="BE8" s="201"/>
      <c r="BF8" s="201"/>
      <c r="BG8" s="56"/>
    </row>
    <row r="9" spans="2:59" ht="8.25" customHeight="1" x14ac:dyDescent="0.25">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row>
    <row r="10" spans="2:59" ht="15" customHeight="1" x14ac:dyDescent="0.2">
      <c r="B10" s="184"/>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row>
    <row r="11" spans="2:59" ht="12.75" customHeight="1" x14ac:dyDescent="0.25">
      <c r="B11" s="56"/>
      <c r="C11" s="56"/>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row>
    <row r="12" spans="2:59" s="65" customFormat="1" ht="12.75" customHeight="1" x14ac:dyDescent="0.25">
      <c r="B12" s="159" t="s">
        <v>72</v>
      </c>
      <c r="C12" s="204" t="s">
        <v>97</v>
      </c>
      <c r="D12" s="204"/>
      <c r="E12" s="204"/>
      <c r="F12" s="204"/>
      <c r="G12" s="204"/>
      <c r="H12" s="204" t="s">
        <v>111</v>
      </c>
      <c r="I12" s="204"/>
      <c r="J12" s="204"/>
      <c r="K12" s="204"/>
      <c r="L12" s="204"/>
      <c r="M12" s="204" t="s">
        <v>112</v>
      </c>
      <c r="N12" s="204"/>
      <c r="O12" s="204"/>
      <c r="P12" s="204"/>
      <c r="Q12" s="204"/>
      <c r="R12" s="204" t="s">
        <v>113</v>
      </c>
      <c r="S12" s="204"/>
      <c r="T12" s="204"/>
      <c r="U12" s="204"/>
      <c r="V12" s="204"/>
      <c r="W12" s="204" t="s">
        <v>114</v>
      </c>
      <c r="X12" s="204"/>
      <c r="Y12" s="204"/>
      <c r="Z12" s="204"/>
      <c r="AA12" s="204"/>
      <c r="AB12" s="204" t="s">
        <v>115</v>
      </c>
      <c r="AC12" s="204"/>
      <c r="AD12" s="204"/>
      <c r="AE12" s="204"/>
      <c r="AF12" s="204"/>
      <c r="AG12" s="204" t="s">
        <v>116</v>
      </c>
      <c r="AH12" s="204"/>
      <c r="AI12" s="204"/>
      <c r="AJ12" s="204"/>
      <c r="AK12" s="204"/>
      <c r="AL12" s="204" t="s">
        <v>117</v>
      </c>
      <c r="AM12" s="204"/>
      <c r="AN12" s="204"/>
      <c r="AO12" s="204"/>
      <c r="AP12" s="204"/>
      <c r="AQ12" s="204" t="s">
        <v>118</v>
      </c>
      <c r="AR12" s="204"/>
      <c r="AS12" s="204"/>
      <c r="AT12" s="204"/>
      <c r="AU12" s="204"/>
      <c r="AV12" s="204" t="s">
        <v>119</v>
      </c>
      <c r="AW12" s="204"/>
      <c r="AX12" s="204"/>
      <c r="AY12" s="204"/>
      <c r="AZ12" s="204"/>
      <c r="BA12" s="204" t="s">
        <v>68</v>
      </c>
      <c r="BB12" s="204"/>
      <c r="BC12" s="204"/>
      <c r="BD12" s="204"/>
      <c r="BE12" s="204"/>
      <c r="BF12" s="205" t="s">
        <v>9</v>
      </c>
      <c r="BG12" s="64"/>
    </row>
    <row r="13" spans="2:59" s="68" customFormat="1" ht="12.75" customHeight="1" x14ac:dyDescent="0.25">
      <c r="B13" s="66" t="s">
        <v>33</v>
      </c>
      <c r="C13" s="66" t="s">
        <v>69</v>
      </c>
      <c r="D13" s="66" t="s">
        <v>70</v>
      </c>
      <c r="E13" s="66" t="s">
        <v>71</v>
      </c>
      <c r="F13" s="66" t="s">
        <v>79</v>
      </c>
      <c r="G13" s="66" t="s">
        <v>80</v>
      </c>
      <c r="H13" s="66" t="s">
        <v>69</v>
      </c>
      <c r="I13" s="66" t="s">
        <v>70</v>
      </c>
      <c r="J13" s="66" t="s">
        <v>71</v>
      </c>
      <c r="K13" s="66" t="s">
        <v>79</v>
      </c>
      <c r="L13" s="66" t="s">
        <v>80</v>
      </c>
      <c r="M13" s="66" t="s">
        <v>69</v>
      </c>
      <c r="N13" s="66" t="s">
        <v>70</v>
      </c>
      <c r="O13" s="66" t="s">
        <v>71</v>
      </c>
      <c r="P13" s="66" t="s">
        <v>79</v>
      </c>
      <c r="Q13" s="66" t="s">
        <v>80</v>
      </c>
      <c r="R13" s="66" t="s">
        <v>69</v>
      </c>
      <c r="S13" s="66" t="s">
        <v>70</v>
      </c>
      <c r="T13" s="66" t="s">
        <v>71</v>
      </c>
      <c r="U13" s="66" t="s">
        <v>79</v>
      </c>
      <c r="V13" s="66" t="s">
        <v>80</v>
      </c>
      <c r="W13" s="66" t="s">
        <v>69</v>
      </c>
      <c r="X13" s="66" t="s">
        <v>70</v>
      </c>
      <c r="Y13" s="66" t="s">
        <v>71</v>
      </c>
      <c r="Z13" s="66" t="s">
        <v>79</v>
      </c>
      <c r="AA13" s="66" t="s">
        <v>80</v>
      </c>
      <c r="AB13" s="66" t="s">
        <v>69</v>
      </c>
      <c r="AC13" s="66" t="s">
        <v>70</v>
      </c>
      <c r="AD13" s="66" t="s">
        <v>71</v>
      </c>
      <c r="AE13" s="66" t="s">
        <v>79</v>
      </c>
      <c r="AF13" s="66" t="s">
        <v>80</v>
      </c>
      <c r="AG13" s="66" t="s">
        <v>69</v>
      </c>
      <c r="AH13" s="66" t="s">
        <v>70</v>
      </c>
      <c r="AI13" s="66" t="s">
        <v>71</v>
      </c>
      <c r="AJ13" s="66" t="s">
        <v>79</v>
      </c>
      <c r="AK13" s="66" t="s">
        <v>80</v>
      </c>
      <c r="AL13" s="66" t="s">
        <v>69</v>
      </c>
      <c r="AM13" s="66" t="s">
        <v>70</v>
      </c>
      <c r="AN13" s="66" t="s">
        <v>71</v>
      </c>
      <c r="AO13" s="66" t="s">
        <v>79</v>
      </c>
      <c r="AP13" s="66" t="s">
        <v>80</v>
      </c>
      <c r="AQ13" s="66" t="s">
        <v>69</v>
      </c>
      <c r="AR13" s="66" t="s">
        <v>70</v>
      </c>
      <c r="AS13" s="66" t="s">
        <v>71</v>
      </c>
      <c r="AT13" s="66" t="s">
        <v>79</v>
      </c>
      <c r="AU13" s="66" t="s">
        <v>80</v>
      </c>
      <c r="AV13" s="66" t="s">
        <v>69</v>
      </c>
      <c r="AW13" s="66" t="s">
        <v>70</v>
      </c>
      <c r="AX13" s="66" t="s">
        <v>71</v>
      </c>
      <c r="AY13" s="66" t="s">
        <v>79</v>
      </c>
      <c r="AZ13" s="66" t="s">
        <v>80</v>
      </c>
      <c r="BA13" s="66" t="s">
        <v>69</v>
      </c>
      <c r="BB13" s="66" t="s">
        <v>70</v>
      </c>
      <c r="BC13" s="66" t="s">
        <v>71</v>
      </c>
      <c r="BD13" s="66" t="s">
        <v>79</v>
      </c>
      <c r="BE13" s="66" t="s">
        <v>80</v>
      </c>
      <c r="BF13" s="205"/>
      <c r="BG13" s="67"/>
    </row>
    <row r="14" spans="2:59" ht="12.75" customHeight="1" x14ac:dyDescent="0.25">
      <c r="B14" s="69" t="s">
        <v>1</v>
      </c>
      <c r="C14" s="51"/>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59">
        <f>SUM(C14,H14,M14,R14,W14,AB14,AG14,AL14,AQ14,AV14)</f>
        <v>0</v>
      </c>
      <c r="BB14" s="59">
        <f>SUM(D14,I14,N14,S14,X14,AC14,AH14,AM14,AR14,AW14)</f>
        <v>0</v>
      </c>
      <c r="BC14" s="59">
        <f>SUM(E14,J14,O14,T14,Y14,AD14,AI14,AN14,AS14,AX14)</f>
        <v>0</v>
      </c>
      <c r="BD14" s="59">
        <f>SUM(F14,K14,P14,U14,Z14,AE14,AJ14,AO14,AT14,AY14)</f>
        <v>0</v>
      </c>
      <c r="BE14" s="59">
        <f>SUM(G14,L14,Q14,V14,AA14,AF14,AK14,AP14,AU14,AZ14)</f>
        <v>0</v>
      </c>
      <c r="BF14" s="60">
        <f>SUM(BA14:BE14)</f>
        <v>0</v>
      </c>
      <c r="BG14" s="56"/>
    </row>
    <row r="15" spans="2:59" ht="12.75" customHeight="1" x14ac:dyDescent="0.25">
      <c r="B15" s="160" t="s">
        <v>194</v>
      </c>
      <c r="C15" s="77"/>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59">
        <f t="shared" ref="BA15:BA17" si="0">SUM(C15,H15,M15,R15,W15,AB15,AG15,AL15,AQ15,AV15)</f>
        <v>0</v>
      </c>
      <c r="BB15" s="59">
        <f t="shared" ref="BB15:BB17" si="1">SUM(D15,I15,N15,S15,X15,AC15,AH15,AM15,AR15,AW15)</f>
        <v>0</v>
      </c>
      <c r="BC15" s="59">
        <f t="shared" ref="BC15:BC17" si="2">SUM(E15,J15,O15,T15,Y15,AD15,AI15,AN15,AS15,AX15)</f>
        <v>0</v>
      </c>
      <c r="BD15" s="59">
        <f t="shared" ref="BD15:BD17" si="3">SUM(F15,K15,P15,U15,Z15,AE15,AJ15,AO15,AT15,AY15)</f>
        <v>0</v>
      </c>
      <c r="BE15" s="59">
        <f t="shared" ref="BE15:BE17" si="4">SUM(G15,L15,Q15,V15,AA15,AF15,AK15,AP15,AU15,AZ15)</f>
        <v>0</v>
      </c>
      <c r="BF15" s="60">
        <f t="shared" ref="BF15:BF17" si="5">SUM(BA15:BE15)</f>
        <v>0</v>
      </c>
      <c r="BG15" s="56"/>
    </row>
    <row r="16" spans="2:59" ht="12.75" customHeight="1" x14ac:dyDescent="0.25">
      <c r="B16" s="69" t="s">
        <v>195</v>
      </c>
      <c r="C16" s="71"/>
      <c r="D16" s="72"/>
      <c r="E16" s="72"/>
      <c r="F16" s="72"/>
      <c r="G16" s="72"/>
      <c r="H16" s="72"/>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59">
        <f t="shared" si="0"/>
        <v>0</v>
      </c>
      <c r="BB16" s="59">
        <f t="shared" si="1"/>
        <v>0</v>
      </c>
      <c r="BC16" s="59">
        <f t="shared" si="2"/>
        <v>0</v>
      </c>
      <c r="BD16" s="59">
        <f t="shared" si="3"/>
        <v>0</v>
      </c>
      <c r="BE16" s="59">
        <f t="shared" si="4"/>
        <v>0</v>
      </c>
      <c r="BF16" s="60">
        <f t="shared" si="5"/>
        <v>0</v>
      </c>
      <c r="BG16" s="56"/>
    </row>
    <row r="17" spans="2:59" ht="12.75" customHeight="1" x14ac:dyDescent="0.25">
      <c r="B17" s="69" t="s">
        <v>231</v>
      </c>
      <c r="C17" s="71"/>
      <c r="D17" s="72"/>
      <c r="E17" s="72"/>
      <c r="F17" s="72"/>
      <c r="G17" s="72"/>
      <c r="H17" s="72"/>
      <c r="I17" s="72"/>
      <c r="J17" s="72"/>
      <c r="K17" s="72"/>
      <c r="L17" s="72"/>
      <c r="M17" s="71"/>
      <c r="N17" s="72"/>
      <c r="O17" s="72"/>
      <c r="P17" s="72"/>
      <c r="Q17" s="72"/>
      <c r="R17" s="71"/>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59">
        <f t="shared" si="0"/>
        <v>0</v>
      </c>
      <c r="BB17" s="59">
        <f t="shared" si="1"/>
        <v>0</v>
      </c>
      <c r="BC17" s="59">
        <f t="shared" si="2"/>
        <v>0</v>
      </c>
      <c r="BD17" s="59">
        <f t="shared" si="3"/>
        <v>0</v>
      </c>
      <c r="BE17" s="59">
        <f t="shared" si="4"/>
        <v>0</v>
      </c>
      <c r="BF17" s="60">
        <f t="shared" si="5"/>
        <v>0</v>
      </c>
      <c r="BG17" s="56"/>
    </row>
    <row r="18" spans="2:59" ht="12.75" customHeight="1" x14ac:dyDescent="0.25">
      <c r="B18" s="69" t="s">
        <v>230</v>
      </c>
      <c r="C18" s="71"/>
      <c r="D18" s="72"/>
      <c r="E18" s="72"/>
      <c r="F18" s="72"/>
      <c r="G18" s="72"/>
      <c r="H18" s="72"/>
      <c r="I18" s="72"/>
      <c r="J18" s="72"/>
      <c r="K18" s="72"/>
      <c r="L18" s="72"/>
      <c r="M18" s="71"/>
      <c r="N18" s="72"/>
      <c r="O18" s="72"/>
      <c r="P18" s="72"/>
      <c r="Q18" s="72"/>
      <c r="R18" s="71"/>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59">
        <f t="shared" ref="BA18:BE28" si="6">SUM(C18,H18,M18,R18,W18,AB18,AG18,AL18,AQ18,AV18)</f>
        <v>0</v>
      </c>
      <c r="BB18" s="59">
        <f t="shared" si="6"/>
        <v>0</v>
      </c>
      <c r="BC18" s="59">
        <f t="shared" si="6"/>
        <v>0</v>
      </c>
      <c r="BD18" s="59">
        <f t="shared" si="6"/>
        <v>0</v>
      </c>
      <c r="BE18" s="59">
        <f t="shared" si="6"/>
        <v>0</v>
      </c>
      <c r="BF18" s="60">
        <f t="shared" ref="BF18:BF24" si="7">SUM(BA18:BE18)</f>
        <v>0</v>
      </c>
      <c r="BG18" s="56"/>
    </row>
    <row r="19" spans="2:59" ht="12.75" customHeight="1" x14ac:dyDescent="0.25">
      <c r="B19" s="69" t="s">
        <v>50</v>
      </c>
      <c r="C19" s="71"/>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59">
        <f t="shared" si="6"/>
        <v>0</v>
      </c>
      <c r="BB19" s="59">
        <f t="shared" si="6"/>
        <v>0</v>
      </c>
      <c r="BC19" s="59">
        <f t="shared" si="6"/>
        <v>0</v>
      </c>
      <c r="BD19" s="59">
        <f t="shared" si="6"/>
        <v>0</v>
      </c>
      <c r="BE19" s="59">
        <f t="shared" si="6"/>
        <v>0</v>
      </c>
      <c r="BF19" s="60">
        <f t="shared" si="7"/>
        <v>0</v>
      </c>
      <c r="BG19" s="56"/>
    </row>
    <row r="20" spans="2:59" ht="12.75" customHeight="1" x14ac:dyDescent="0.25">
      <c r="B20" s="69" t="s">
        <v>16</v>
      </c>
      <c r="C20" s="71"/>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59">
        <f t="shared" si="6"/>
        <v>0</v>
      </c>
      <c r="BB20" s="59">
        <f t="shared" si="6"/>
        <v>0</v>
      </c>
      <c r="BC20" s="59">
        <f t="shared" si="6"/>
        <v>0</v>
      </c>
      <c r="BD20" s="59">
        <f t="shared" si="6"/>
        <v>0</v>
      </c>
      <c r="BE20" s="59">
        <f t="shared" si="6"/>
        <v>0</v>
      </c>
      <c r="BF20" s="60">
        <f t="shared" si="7"/>
        <v>0</v>
      </c>
      <c r="BG20" s="56"/>
    </row>
    <row r="21" spans="2:59" ht="12.75" customHeight="1" x14ac:dyDescent="0.25">
      <c r="B21" s="69" t="s">
        <v>3</v>
      </c>
      <c r="C21" s="71"/>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59">
        <f t="shared" si="6"/>
        <v>0</v>
      </c>
      <c r="BB21" s="59">
        <f t="shared" si="6"/>
        <v>0</v>
      </c>
      <c r="BC21" s="59">
        <f t="shared" si="6"/>
        <v>0</v>
      </c>
      <c r="BD21" s="59">
        <f t="shared" si="6"/>
        <v>0</v>
      </c>
      <c r="BE21" s="59">
        <f t="shared" si="6"/>
        <v>0</v>
      </c>
      <c r="BF21" s="60">
        <f t="shared" si="7"/>
        <v>0</v>
      </c>
      <c r="BG21" s="56"/>
    </row>
    <row r="22" spans="2:59" ht="12.75" customHeight="1" x14ac:dyDescent="0.25">
      <c r="B22" s="69" t="s">
        <v>4</v>
      </c>
      <c r="C22" s="71"/>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59">
        <f t="shared" si="6"/>
        <v>0</v>
      </c>
      <c r="BB22" s="59">
        <f t="shared" si="6"/>
        <v>0</v>
      </c>
      <c r="BC22" s="59">
        <f t="shared" si="6"/>
        <v>0</v>
      </c>
      <c r="BD22" s="59">
        <f t="shared" si="6"/>
        <v>0</v>
      </c>
      <c r="BE22" s="59">
        <f t="shared" si="6"/>
        <v>0</v>
      </c>
      <c r="BF22" s="60">
        <f t="shared" si="7"/>
        <v>0</v>
      </c>
      <c r="BG22" s="56"/>
    </row>
    <row r="23" spans="2:59" ht="12.75" customHeight="1" x14ac:dyDescent="0.25">
      <c r="B23" s="69" t="s">
        <v>17</v>
      </c>
      <c r="C23" s="71"/>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59">
        <f t="shared" si="6"/>
        <v>0</v>
      </c>
      <c r="BB23" s="59">
        <f t="shared" si="6"/>
        <v>0</v>
      </c>
      <c r="BC23" s="59">
        <f t="shared" si="6"/>
        <v>0</v>
      </c>
      <c r="BD23" s="59">
        <f t="shared" si="6"/>
        <v>0</v>
      </c>
      <c r="BE23" s="59">
        <f t="shared" si="6"/>
        <v>0</v>
      </c>
      <c r="BF23" s="60">
        <f t="shared" si="7"/>
        <v>0</v>
      </c>
      <c r="BG23" s="56"/>
    </row>
    <row r="24" spans="2:59" ht="12.75" customHeight="1" x14ac:dyDescent="0.25">
      <c r="B24" s="69" t="s">
        <v>18</v>
      </c>
      <c r="C24" s="71"/>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59">
        <f t="shared" si="6"/>
        <v>0</v>
      </c>
      <c r="BB24" s="59">
        <f t="shared" si="6"/>
        <v>0</v>
      </c>
      <c r="BC24" s="59">
        <f t="shared" si="6"/>
        <v>0</v>
      </c>
      <c r="BD24" s="59">
        <f t="shared" si="6"/>
        <v>0</v>
      </c>
      <c r="BE24" s="59">
        <f t="shared" si="6"/>
        <v>0</v>
      </c>
      <c r="BF24" s="60">
        <f t="shared" si="7"/>
        <v>0</v>
      </c>
      <c r="BG24" s="56"/>
    </row>
    <row r="25" spans="2:59" ht="12.75" customHeight="1" x14ac:dyDescent="0.25">
      <c r="B25" s="69" t="s">
        <v>5</v>
      </c>
      <c r="C25" s="71"/>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59">
        <f t="shared" si="6"/>
        <v>0</v>
      </c>
      <c r="BB25" s="59">
        <f t="shared" si="6"/>
        <v>0</v>
      </c>
      <c r="BC25" s="59">
        <f t="shared" si="6"/>
        <v>0</v>
      </c>
      <c r="BD25" s="59">
        <f t="shared" si="6"/>
        <v>0</v>
      </c>
      <c r="BE25" s="59">
        <f t="shared" si="6"/>
        <v>0</v>
      </c>
      <c r="BF25" s="60">
        <f>SUM(BA25:BE25)</f>
        <v>0</v>
      </c>
      <c r="BG25" s="56"/>
    </row>
    <row r="26" spans="2:59" ht="12.75" customHeight="1" x14ac:dyDescent="0.25">
      <c r="B26" s="69" t="s">
        <v>123</v>
      </c>
      <c r="C26" s="71"/>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59">
        <f t="shared" si="6"/>
        <v>0</v>
      </c>
      <c r="BB26" s="59">
        <f t="shared" si="6"/>
        <v>0</v>
      </c>
      <c r="BC26" s="59">
        <f t="shared" si="6"/>
        <v>0</v>
      </c>
      <c r="BD26" s="59">
        <f t="shared" si="6"/>
        <v>0</v>
      </c>
      <c r="BE26" s="59">
        <f>SUM(G26,L26,Q26,V26,AA26,AF26,AK26,AP26,AU26,AZ26)</f>
        <v>0</v>
      </c>
      <c r="BF26" s="60">
        <f t="shared" ref="BF26:BF27" si="8">SUM(BA26:BE26)</f>
        <v>0</v>
      </c>
      <c r="BG26" s="56"/>
    </row>
    <row r="27" spans="2:59" ht="12.75" customHeight="1" x14ac:dyDescent="0.25">
      <c r="B27" s="69" t="s">
        <v>124</v>
      </c>
      <c r="C27" s="71"/>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59">
        <f t="shared" si="6"/>
        <v>0</v>
      </c>
      <c r="BB27" s="59">
        <f t="shared" si="6"/>
        <v>0</v>
      </c>
      <c r="BC27" s="59">
        <f t="shared" si="6"/>
        <v>0</v>
      </c>
      <c r="BD27" s="59">
        <f t="shared" si="6"/>
        <v>0</v>
      </c>
      <c r="BE27" s="59">
        <f t="shared" si="6"/>
        <v>0</v>
      </c>
      <c r="BF27" s="60">
        <f t="shared" si="8"/>
        <v>0</v>
      </c>
      <c r="BG27" s="56"/>
    </row>
    <row r="28" spans="2:59" ht="12.75" customHeight="1" x14ac:dyDescent="0.25">
      <c r="B28" s="73" t="s">
        <v>21</v>
      </c>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58">
        <f t="shared" si="6"/>
        <v>0</v>
      </c>
      <c r="BB28" s="58">
        <f t="shared" si="6"/>
        <v>0</v>
      </c>
      <c r="BC28" s="58">
        <f t="shared" si="6"/>
        <v>0</v>
      </c>
      <c r="BD28" s="58">
        <f t="shared" si="6"/>
        <v>0</v>
      </c>
      <c r="BE28" s="58">
        <f t="shared" si="6"/>
        <v>0</v>
      </c>
      <c r="BF28" s="58">
        <f>SUM(BA28:BE28)</f>
        <v>0</v>
      </c>
      <c r="BG28" s="56"/>
    </row>
    <row r="29" spans="2:59" ht="12.75" customHeight="1" x14ac:dyDescent="0.25">
      <c r="B29" s="75" t="s">
        <v>125</v>
      </c>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60">
        <f>SUM(BA14:BA27)</f>
        <v>0</v>
      </c>
      <c r="BB29" s="60">
        <f t="shared" ref="BB29:BE29" si="9">SUM(BB14:BB27)</f>
        <v>0</v>
      </c>
      <c r="BC29" s="60">
        <f t="shared" si="9"/>
        <v>0</v>
      </c>
      <c r="BD29" s="60">
        <f t="shared" si="9"/>
        <v>0</v>
      </c>
      <c r="BE29" s="60">
        <f t="shared" si="9"/>
        <v>0</v>
      </c>
      <c r="BF29" s="60">
        <f>SUM(BF14:BF27)</f>
        <v>0</v>
      </c>
      <c r="BG29" s="56"/>
    </row>
    <row r="30" spans="2:59" ht="12.75" customHeight="1" x14ac:dyDescent="0.25">
      <c r="B30" s="211"/>
      <c r="C30" s="182"/>
      <c r="D30" s="182"/>
      <c r="E30" s="182"/>
      <c r="F30" s="182"/>
      <c r="G30" s="182"/>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182"/>
      <c r="AQ30" s="182"/>
      <c r="AR30" s="182"/>
      <c r="AS30" s="182"/>
      <c r="AT30" s="182"/>
      <c r="AU30" s="182"/>
      <c r="AV30" s="182"/>
      <c r="AW30" s="182"/>
      <c r="AX30" s="182"/>
      <c r="AY30" s="182"/>
      <c r="AZ30" s="182"/>
      <c r="BA30" s="183"/>
      <c r="BB30" s="183"/>
      <c r="BC30" s="183"/>
      <c r="BD30" s="183"/>
      <c r="BE30" s="183"/>
      <c r="BF30" s="183"/>
      <c r="BG30" s="56"/>
    </row>
    <row r="31" spans="2:59" ht="12.75" customHeight="1" x14ac:dyDescent="0.25">
      <c r="B31" s="211"/>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row>
    <row r="32" spans="2:59" ht="12.75" customHeight="1" x14ac:dyDescent="0.25">
      <c r="B32" s="211"/>
      <c r="C32" s="204" t="s">
        <v>94</v>
      </c>
      <c r="D32" s="204"/>
      <c r="E32" s="204"/>
      <c r="F32" s="204"/>
      <c r="G32" s="204"/>
      <c r="H32" s="204"/>
      <c r="I32" s="206" t="s">
        <v>94</v>
      </c>
      <c r="J32" s="207"/>
      <c r="K32" s="207"/>
      <c r="L32" s="207"/>
      <c r="M32" s="207"/>
      <c r="N32" s="208"/>
      <c r="O32" s="213" t="s">
        <v>9</v>
      </c>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row>
    <row r="33" spans="2:59" ht="12.75" customHeight="1" x14ac:dyDescent="0.25">
      <c r="B33" s="211"/>
      <c r="C33" s="66" t="s">
        <v>69</v>
      </c>
      <c r="D33" s="66" t="s">
        <v>70</v>
      </c>
      <c r="E33" s="66" t="s">
        <v>71</v>
      </c>
      <c r="F33" s="66" t="s">
        <v>79</v>
      </c>
      <c r="G33" s="66" t="s">
        <v>80</v>
      </c>
      <c r="H33" s="219" t="s">
        <v>95</v>
      </c>
      <c r="I33" s="66" t="s">
        <v>69</v>
      </c>
      <c r="J33" s="66" t="s">
        <v>70</v>
      </c>
      <c r="K33" s="66" t="s">
        <v>71</v>
      </c>
      <c r="L33" s="66" t="s">
        <v>79</v>
      </c>
      <c r="M33" s="66" t="s">
        <v>80</v>
      </c>
      <c r="N33" s="219" t="s">
        <v>65</v>
      </c>
      <c r="O33" s="214"/>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row>
    <row r="34" spans="2:59" ht="12.75" customHeight="1" x14ac:dyDescent="0.25">
      <c r="B34" s="76"/>
      <c r="C34" s="219" t="s">
        <v>66</v>
      </c>
      <c r="D34" s="219"/>
      <c r="E34" s="219"/>
      <c r="F34" s="219"/>
      <c r="G34" s="219"/>
      <c r="H34" s="219"/>
      <c r="I34" s="216" t="s">
        <v>67</v>
      </c>
      <c r="J34" s="217"/>
      <c r="K34" s="217"/>
      <c r="L34" s="217"/>
      <c r="M34" s="218"/>
      <c r="N34" s="219"/>
      <c r="O34" s="215"/>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row>
    <row r="35" spans="2:59" ht="12.75" customHeight="1" x14ac:dyDescent="0.25">
      <c r="B35" s="69" t="s">
        <v>1</v>
      </c>
      <c r="C35" s="77"/>
      <c r="D35" s="51"/>
      <c r="E35" s="51"/>
      <c r="F35" s="51"/>
      <c r="G35" s="51"/>
      <c r="H35" s="50">
        <f t="shared" ref="H35:H50" si="10">SUM(C35:G35)</f>
        <v>0</v>
      </c>
      <c r="I35" s="51"/>
      <c r="J35" s="51"/>
      <c r="K35" s="51"/>
      <c r="L35" s="51"/>
      <c r="M35" s="51"/>
      <c r="N35" s="50">
        <f t="shared" ref="N35:N49" si="11">SUM(I35:M35)</f>
        <v>0</v>
      </c>
      <c r="O35" s="50">
        <f>SUM(H35,N35)</f>
        <v>0</v>
      </c>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row>
    <row r="36" spans="2:59" ht="12.75" customHeight="1" x14ac:dyDescent="0.25">
      <c r="B36" s="160" t="s">
        <v>194</v>
      </c>
      <c r="C36" s="77"/>
      <c r="D36" s="51"/>
      <c r="E36" s="51"/>
      <c r="F36" s="51"/>
      <c r="G36" s="51"/>
      <c r="H36" s="50">
        <f t="shared" si="10"/>
        <v>0</v>
      </c>
      <c r="I36" s="51"/>
      <c r="J36" s="51"/>
      <c r="K36" s="51"/>
      <c r="L36" s="51"/>
      <c r="M36" s="51"/>
      <c r="N36" s="50">
        <f t="shared" ref="N36" si="12">SUM(I36:M36)</f>
        <v>0</v>
      </c>
      <c r="O36" s="50">
        <f t="shared" ref="O36:O50" si="13">SUM(H36,N36)</f>
        <v>0</v>
      </c>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row>
    <row r="37" spans="2:59" ht="12.75" customHeight="1" x14ac:dyDescent="0.25">
      <c r="B37" s="69" t="s">
        <v>195</v>
      </c>
      <c r="C37" s="77"/>
      <c r="D37" s="51"/>
      <c r="E37" s="51"/>
      <c r="F37" s="51"/>
      <c r="G37" s="51"/>
      <c r="H37" s="50">
        <f t="shared" si="10"/>
        <v>0</v>
      </c>
      <c r="I37" s="51"/>
      <c r="J37" s="51"/>
      <c r="K37" s="51"/>
      <c r="L37" s="51"/>
      <c r="M37" s="51"/>
      <c r="N37" s="50">
        <f t="shared" si="11"/>
        <v>0</v>
      </c>
      <c r="O37" s="50">
        <f t="shared" si="13"/>
        <v>0</v>
      </c>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row>
    <row r="38" spans="2:59" ht="12.75" customHeight="1" x14ac:dyDescent="0.25">
      <c r="B38" s="69" t="s">
        <v>231</v>
      </c>
      <c r="C38" s="77"/>
      <c r="D38" s="51"/>
      <c r="E38" s="51"/>
      <c r="F38" s="51"/>
      <c r="G38" s="51"/>
      <c r="H38" s="50">
        <f t="shared" si="10"/>
        <v>0</v>
      </c>
      <c r="I38" s="51"/>
      <c r="J38" s="51"/>
      <c r="K38" s="51"/>
      <c r="L38" s="51"/>
      <c r="M38" s="51"/>
      <c r="N38" s="50">
        <f t="shared" si="11"/>
        <v>0</v>
      </c>
      <c r="O38" s="50">
        <f t="shared" si="13"/>
        <v>0</v>
      </c>
      <c r="Q38" s="56"/>
      <c r="R38" s="78"/>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row>
    <row r="39" spans="2:59" ht="12.75" customHeight="1" x14ac:dyDescent="0.25">
      <c r="B39" s="69" t="s">
        <v>230</v>
      </c>
      <c r="C39" s="77"/>
      <c r="D39" s="51"/>
      <c r="E39" s="51"/>
      <c r="F39" s="51"/>
      <c r="G39" s="51"/>
      <c r="H39" s="50">
        <f t="shared" si="10"/>
        <v>0</v>
      </c>
      <c r="I39" s="51"/>
      <c r="J39" s="51"/>
      <c r="K39" s="51"/>
      <c r="L39" s="51"/>
      <c r="M39" s="51"/>
      <c r="N39" s="50">
        <f t="shared" si="11"/>
        <v>0</v>
      </c>
      <c r="O39" s="50">
        <f t="shared" si="13"/>
        <v>0</v>
      </c>
      <c r="Q39" s="56"/>
      <c r="R39" s="78"/>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row>
    <row r="40" spans="2:59" ht="12.75" customHeight="1" x14ac:dyDescent="0.25">
      <c r="B40" s="69" t="s">
        <v>50</v>
      </c>
      <c r="C40" s="77"/>
      <c r="D40" s="51"/>
      <c r="E40" s="51"/>
      <c r="F40" s="51"/>
      <c r="G40" s="51"/>
      <c r="H40" s="50">
        <f t="shared" si="10"/>
        <v>0</v>
      </c>
      <c r="I40" s="51"/>
      <c r="J40" s="51"/>
      <c r="K40" s="51"/>
      <c r="L40" s="51"/>
      <c r="M40" s="51"/>
      <c r="N40" s="50">
        <f t="shared" si="11"/>
        <v>0</v>
      </c>
      <c r="O40" s="50">
        <f t="shared" si="13"/>
        <v>0</v>
      </c>
      <c r="Q40" s="56"/>
      <c r="R40" s="79"/>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row>
    <row r="41" spans="2:59" ht="12.75" customHeight="1" x14ac:dyDescent="0.25">
      <c r="B41" s="69" t="s">
        <v>16</v>
      </c>
      <c r="C41" s="77"/>
      <c r="D41" s="51"/>
      <c r="E41" s="51"/>
      <c r="F41" s="51"/>
      <c r="G41" s="51"/>
      <c r="H41" s="50">
        <f t="shared" si="10"/>
        <v>0</v>
      </c>
      <c r="I41" s="51"/>
      <c r="J41" s="51"/>
      <c r="K41" s="51"/>
      <c r="L41" s="51"/>
      <c r="M41" s="51"/>
      <c r="N41" s="50">
        <f t="shared" si="11"/>
        <v>0</v>
      </c>
      <c r="O41" s="50">
        <f t="shared" si="13"/>
        <v>0</v>
      </c>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row>
    <row r="42" spans="2:59" ht="12.75" customHeight="1" x14ac:dyDescent="0.25">
      <c r="B42" s="69" t="s">
        <v>3</v>
      </c>
      <c r="C42" s="77"/>
      <c r="D42" s="51"/>
      <c r="E42" s="51"/>
      <c r="F42" s="51"/>
      <c r="G42" s="51"/>
      <c r="H42" s="50">
        <f t="shared" si="10"/>
        <v>0</v>
      </c>
      <c r="I42" s="51"/>
      <c r="J42" s="51"/>
      <c r="K42" s="51"/>
      <c r="L42" s="51"/>
      <c r="M42" s="51"/>
      <c r="N42" s="50">
        <f t="shared" si="11"/>
        <v>0</v>
      </c>
      <c r="O42" s="50">
        <f t="shared" si="13"/>
        <v>0</v>
      </c>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row>
    <row r="43" spans="2:59" ht="12.75" customHeight="1" x14ac:dyDescent="0.25">
      <c r="B43" s="69" t="s">
        <v>4</v>
      </c>
      <c r="C43" s="77"/>
      <c r="D43" s="51"/>
      <c r="E43" s="51"/>
      <c r="F43" s="51"/>
      <c r="G43" s="51"/>
      <c r="H43" s="50">
        <f t="shared" si="10"/>
        <v>0</v>
      </c>
      <c r="I43" s="51"/>
      <c r="J43" s="51"/>
      <c r="K43" s="51"/>
      <c r="L43" s="51"/>
      <c r="M43" s="51"/>
      <c r="N43" s="50">
        <f t="shared" si="11"/>
        <v>0</v>
      </c>
      <c r="O43" s="50">
        <f t="shared" si="13"/>
        <v>0</v>
      </c>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row>
    <row r="44" spans="2:59" ht="12.75" customHeight="1" x14ac:dyDescent="0.25">
      <c r="B44" s="69" t="s">
        <v>17</v>
      </c>
      <c r="C44" s="77"/>
      <c r="D44" s="51"/>
      <c r="E44" s="51"/>
      <c r="F44" s="51"/>
      <c r="G44" s="51"/>
      <c r="H44" s="50">
        <f t="shared" si="10"/>
        <v>0</v>
      </c>
      <c r="I44" s="51"/>
      <c r="J44" s="51"/>
      <c r="K44" s="51"/>
      <c r="L44" s="51"/>
      <c r="M44" s="51"/>
      <c r="N44" s="50">
        <f t="shared" si="11"/>
        <v>0</v>
      </c>
      <c r="O44" s="50">
        <f t="shared" si="13"/>
        <v>0</v>
      </c>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row>
    <row r="45" spans="2:59" ht="12.75" customHeight="1" x14ac:dyDescent="0.25">
      <c r="B45" s="69" t="s">
        <v>18</v>
      </c>
      <c r="C45" s="77"/>
      <c r="D45" s="51"/>
      <c r="E45" s="51"/>
      <c r="F45" s="51"/>
      <c r="G45" s="51"/>
      <c r="H45" s="50">
        <f t="shared" si="10"/>
        <v>0</v>
      </c>
      <c r="I45" s="51"/>
      <c r="J45" s="51"/>
      <c r="K45" s="51"/>
      <c r="L45" s="51"/>
      <c r="M45" s="51"/>
      <c r="N45" s="50">
        <f t="shared" si="11"/>
        <v>0</v>
      </c>
      <c r="O45" s="50">
        <f t="shared" si="13"/>
        <v>0</v>
      </c>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row>
    <row r="46" spans="2:59" ht="12.75" customHeight="1" x14ac:dyDescent="0.25">
      <c r="B46" s="69" t="s">
        <v>5</v>
      </c>
      <c r="C46" s="77"/>
      <c r="D46" s="51"/>
      <c r="E46" s="51"/>
      <c r="F46" s="51"/>
      <c r="G46" s="51"/>
      <c r="H46" s="50">
        <f t="shared" si="10"/>
        <v>0</v>
      </c>
      <c r="I46" s="51"/>
      <c r="J46" s="51"/>
      <c r="K46" s="51"/>
      <c r="L46" s="51"/>
      <c r="M46" s="51"/>
      <c r="N46" s="50">
        <f t="shared" si="11"/>
        <v>0</v>
      </c>
      <c r="O46" s="50">
        <f t="shared" si="13"/>
        <v>0</v>
      </c>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row>
    <row r="47" spans="2:59" ht="12.75" customHeight="1" x14ac:dyDescent="0.25">
      <c r="B47" s="69" t="s">
        <v>123</v>
      </c>
      <c r="C47" s="77"/>
      <c r="D47" s="51"/>
      <c r="E47" s="51"/>
      <c r="F47" s="51"/>
      <c r="G47" s="51"/>
      <c r="H47" s="50">
        <f t="shared" ref="H47:H48" si="14">SUM(C47:G47)</f>
        <v>0</v>
      </c>
      <c r="I47" s="51"/>
      <c r="J47" s="51"/>
      <c r="K47" s="51"/>
      <c r="L47" s="51"/>
      <c r="M47" s="51"/>
      <c r="N47" s="50">
        <f t="shared" ref="N47:N48" si="15">SUM(I47:M47)</f>
        <v>0</v>
      </c>
      <c r="O47" s="50">
        <f t="shared" si="13"/>
        <v>0</v>
      </c>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row>
    <row r="48" spans="2:59" ht="12.75" customHeight="1" x14ac:dyDescent="0.25">
      <c r="B48" s="69" t="s">
        <v>124</v>
      </c>
      <c r="C48" s="77"/>
      <c r="D48" s="51"/>
      <c r="E48" s="51"/>
      <c r="F48" s="51"/>
      <c r="G48" s="51"/>
      <c r="H48" s="50">
        <f t="shared" si="14"/>
        <v>0</v>
      </c>
      <c r="I48" s="51"/>
      <c r="J48" s="51"/>
      <c r="K48" s="51"/>
      <c r="L48" s="51"/>
      <c r="M48" s="51"/>
      <c r="N48" s="50">
        <f t="shared" si="15"/>
        <v>0</v>
      </c>
      <c r="O48" s="50">
        <f t="shared" si="13"/>
        <v>0</v>
      </c>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row>
    <row r="49" spans="2:59" ht="12.75" customHeight="1" x14ac:dyDescent="0.25">
      <c r="B49" s="73" t="s">
        <v>21</v>
      </c>
      <c r="C49" s="80"/>
      <c r="D49" s="80"/>
      <c r="E49" s="80"/>
      <c r="F49" s="80"/>
      <c r="G49" s="80"/>
      <c r="H49" s="80">
        <f t="shared" si="10"/>
        <v>0</v>
      </c>
      <c r="I49" s="80"/>
      <c r="J49" s="80"/>
      <c r="K49" s="80"/>
      <c r="L49" s="80"/>
      <c r="M49" s="80"/>
      <c r="N49" s="80">
        <f t="shared" si="11"/>
        <v>0</v>
      </c>
      <c r="O49" s="175">
        <f t="shared" si="13"/>
        <v>0</v>
      </c>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row>
    <row r="50" spans="2:59" ht="12.75" customHeight="1" x14ac:dyDescent="0.25">
      <c r="B50" s="75" t="s">
        <v>125</v>
      </c>
      <c r="C50" s="57"/>
      <c r="D50" s="57"/>
      <c r="E50" s="57"/>
      <c r="F50" s="57"/>
      <c r="G50" s="57"/>
      <c r="H50" s="50">
        <f t="shared" si="10"/>
        <v>0</v>
      </c>
      <c r="I50" s="57"/>
      <c r="J50" s="57"/>
      <c r="K50" s="57"/>
      <c r="L50" s="57"/>
      <c r="M50" s="57"/>
      <c r="N50" s="50">
        <f>SUM(I50:M50)</f>
        <v>0</v>
      </c>
      <c r="O50" s="50">
        <f t="shared" si="13"/>
        <v>0</v>
      </c>
      <c r="Q50" s="56"/>
      <c r="R50" s="79"/>
      <c r="S50" s="78"/>
      <c r="T50" s="78"/>
      <c r="U50" s="78"/>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row>
    <row r="51" spans="2:59" x14ac:dyDescent="0.25">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row>
    <row r="52" spans="2:59" x14ac:dyDescent="0.25">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row>
  </sheetData>
  <mergeCells count="31">
    <mergeCell ref="B5:C5"/>
    <mergeCell ref="B6:C6"/>
    <mergeCell ref="B1:BF1"/>
    <mergeCell ref="B3:C3"/>
    <mergeCell ref="B4:C4"/>
    <mergeCell ref="D3:O3"/>
    <mergeCell ref="D4:O4"/>
    <mergeCell ref="D5:O5"/>
    <mergeCell ref="D6:O6"/>
    <mergeCell ref="B8:BF8"/>
    <mergeCell ref="C12:G12"/>
    <mergeCell ref="H12:L12"/>
    <mergeCell ref="M12:Q12"/>
    <mergeCell ref="R12:V12"/>
    <mergeCell ref="W12:AA12"/>
    <mergeCell ref="AB12:AF12"/>
    <mergeCell ref="AG12:AK12"/>
    <mergeCell ref="AL12:AP12"/>
    <mergeCell ref="BF12:BF13"/>
    <mergeCell ref="AQ12:AU12"/>
    <mergeCell ref="AV12:AZ12"/>
    <mergeCell ref="BA12:BE12"/>
    <mergeCell ref="B30:B31"/>
    <mergeCell ref="B32:B33"/>
    <mergeCell ref="C32:H32"/>
    <mergeCell ref="I32:N32"/>
    <mergeCell ref="O32:O34"/>
    <mergeCell ref="H33:H34"/>
    <mergeCell ref="N33:N34"/>
    <mergeCell ref="C34:G34"/>
    <mergeCell ref="I34:M34"/>
  </mergeCells>
  <pageMargins left="0.7" right="0.7" top="0.75" bottom="0.75" header="0.3" footer="0.3"/>
  <pageSetup paperSize="9" fitToHeight="0" orientation="landscape" horizontalDpi="90" verticalDpi="90" r:id="rId1"/>
  <ignoredErrors>
    <ignoredError sqref="H5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G41"/>
  <sheetViews>
    <sheetView zoomScaleNormal="100" workbookViewId="0">
      <selection activeCell="L33" sqref="L33"/>
    </sheetView>
  </sheetViews>
  <sheetFormatPr baseColWidth="10" defaultRowHeight="12.75" x14ac:dyDescent="0.25"/>
  <cols>
    <col min="1" max="1" width="3.28515625" style="61" customWidth="1"/>
    <col min="2" max="2" width="44.140625" style="61" customWidth="1"/>
    <col min="3" max="3" width="14.28515625" style="61" customWidth="1"/>
    <col min="4" max="4" width="12.7109375" style="61" customWidth="1"/>
    <col min="5" max="58" width="11.85546875" style="61" customWidth="1"/>
    <col min="59" max="16384" width="11.42578125" style="61"/>
  </cols>
  <sheetData>
    <row r="1" spans="2:59" ht="28.5" customHeight="1" x14ac:dyDescent="0.25">
      <c r="B1" s="203" t="s">
        <v>96</v>
      </c>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56"/>
    </row>
    <row r="2" spans="2:59" x14ac:dyDescent="0.25">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row>
    <row r="3" spans="2:59" ht="15.75" x14ac:dyDescent="0.25">
      <c r="B3" s="209" t="s">
        <v>135</v>
      </c>
      <c r="C3" s="210"/>
      <c r="D3" s="212"/>
      <c r="E3" s="212"/>
      <c r="F3" s="212"/>
      <c r="G3" s="212"/>
      <c r="H3" s="212"/>
      <c r="I3" s="212"/>
      <c r="J3" s="212"/>
      <c r="K3" s="212"/>
      <c r="L3" s="212"/>
      <c r="M3" s="212"/>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row>
    <row r="4" spans="2:59" ht="15.75" x14ac:dyDescent="0.25">
      <c r="B4" s="209" t="s">
        <v>136</v>
      </c>
      <c r="C4" s="210"/>
      <c r="D4" s="212"/>
      <c r="E4" s="212"/>
      <c r="F4" s="212"/>
      <c r="G4" s="212"/>
      <c r="H4" s="212"/>
      <c r="I4" s="212"/>
      <c r="J4" s="212"/>
      <c r="K4" s="212"/>
      <c r="L4" s="212"/>
      <c r="M4" s="212"/>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row>
    <row r="5" spans="2:59" ht="15.75" x14ac:dyDescent="0.25">
      <c r="B5" s="209" t="s">
        <v>139</v>
      </c>
      <c r="C5" s="210"/>
      <c r="D5" s="212"/>
      <c r="E5" s="212"/>
      <c r="F5" s="212"/>
      <c r="G5" s="212"/>
      <c r="H5" s="212"/>
      <c r="I5" s="212"/>
      <c r="J5" s="212"/>
      <c r="K5" s="212"/>
      <c r="L5" s="212"/>
      <c r="M5" s="212"/>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row>
    <row r="6" spans="2:59" x14ac:dyDescent="0.25">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row>
    <row r="7" spans="2:59" ht="12.75" customHeight="1" x14ac:dyDescent="0.25">
      <c r="B7" s="201" t="s">
        <v>232</v>
      </c>
      <c r="C7" s="201"/>
      <c r="D7" s="201"/>
      <c r="E7" s="201"/>
      <c r="F7" s="201"/>
      <c r="G7" s="201"/>
      <c r="H7" s="201"/>
      <c r="I7" s="201"/>
      <c r="J7" s="201"/>
      <c r="K7" s="201"/>
      <c r="L7" s="201"/>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1"/>
      <c r="BB7" s="201"/>
      <c r="BC7" s="201"/>
      <c r="BD7" s="201"/>
      <c r="BE7" s="201"/>
      <c r="BF7" s="201"/>
      <c r="BG7" s="56"/>
    </row>
    <row r="8" spans="2:59" ht="12.75" customHeight="1" x14ac:dyDescent="0.25">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row>
    <row r="9" spans="2:59" s="65" customFormat="1" ht="12.75" customHeight="1" x14ac:dyDescent="0.25">
      <c r="B9" s="63" t="s">
        <v>72</v>
      </c>
      <c r="C9" s="63" t="s">
        <v>97</v>
      </c>
      <c r="D9" s="63" t="s">
        <v>51</v>
      </c>
      <c r="E9" s="63" t="s">
        <v>53</v>
      </c>
      <c r="F9" s="63" t="s">
        <v>54</v>
      </c>
      <c r="G9" s="63" t="s">
        <v>55</v>
      </c>
      <c r="H9" s="63" t="s">
        <v>56</v>
      </c>
      <c r="I9" s="63" t="s">
        <v>57</v>
      </c>
      <c r="J9" s="63" t="s">
        <v>58</v>
      </c>
      <c r="K9" s="63" t="s">
        <v>59</v>
      </c>
      <c r="L9" s="63" t="s">
        <v>60</v>
      </c>
      <c r="M9" s="81" t="s">
        <v>9</v>
      </c>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row>
    <row r="10" spans="2:59" ht="12.75" customHeight="1" x14ac:dyDescent="0.25">
      <c r="B10" s="69" t="s">
        <v>1</v>
      </c>
      <c r="C10" s="70"/>
      <c r="D10" s="70"/>
      <c r="E10" s="70"/>
      <c r="F10" s="70"/>
      <c r="G10" s="70"/>
      <c r="H10" s="70"/>
      <c r="I10" s="70"/>
      <c r="J10" s="70"/>
      <c r="K10" s="70"/>
      <c r="L10" s="70"/>
      <c r="M10" s="180">
        <f>SUM(C10:L10)</f>
        <v>0</v>
      </c>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row>
    <row r="11" spans="2:59" ht="12.75" customHeight="1" x14ac:dyDescent="0.25">
      <c r="B11" s="160" t="s">
        <v>194</v>
      </c>
      <c r="C11" s="71"/>
      <c r="D11" s="72"/>
      <c r="E11" s="72"/>
      <c r="F11" s="72"/>
      <c r="G11" s="72"/>
      <c r="H11" s="72"/>
      <c r="I11" s="72"/>
      <c r="J11" s="72"/>
      <c r="K11" s="72"/>
      <c r="L11" s="72"/>
      <c r="M11" s="180">
        <f t="shared" ref="M11:M22" si="0">SUM(C11:L11)</f>
        <v>0</v>
      </c>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row>
    <row r="12" spans="2:59" ht="12.75" customHeight="1" x14ac:dyDescent="0.25">
      <c r="B12" s="69" t="s">
        <v>195</v>
      </c>
      <c r="C12" s="71"/>
      <c r="D12" s="72"/>
      <c r="E12" s="72"/>
      <c r="F12" s="72"/>
      <c r="G12" s="72"/>
      <c r="H12" s="72"/>
      <c r="I12" s="72"/>
      <c r="J12" s="72"/>
      <c r="K12" s="72"/>
      <c r="L12" s="72"/>
      <c r="M12" s="180">
        <f t="shared" si="0"/>
        <v>0</v>
      </c>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row>
    <row r="13" spans="2:59" ht="12.75" customHeight="1" x14ac:dyDescent="0.25">
      <c r="B13" s="69" t="s">
        <v>231</v>
      </c>
      <c r="C13" s="71"/>
      <c r="D13" s="72"/>
      <c r="E13" s="72"/>
      <c r="F13" s="72"/>
      <c r="G13" s="72"/>
      <c r="H13" s="72"/>
      <c r="I13" s="72"/>
      <c r="J13" s="72"/>
      <c r="K13" s="72"/>
      <c r="L13" s="72"/>
      <c r="M13" s="180">
        <f t="shared" si="0"/>
        <v>0</v>
      </c>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row>
    <row r="14" spans="2:59" ht="12.75" customHeight="1" x14ac:dyDescent="0.25">
      <c r="B14" s="69" t="s">
        <v>230</v>
      </c>
      <c r="C14" s="71"/>
      <c r="D14" s="72"/>
      <c r="E14" s="72"/>
      <c r="F14" s="72"/>
      <c r="G14" s="72"/>
      <c r="H14" s="72"/>
      <c r="I14" s="72"/>
      <c r="J14" s="72"/>
      <c r="K14" s="72"/>
      <c r="L14" s="72"/>
      <c r="M14" s="180">
        <f t="shared" si="0"/>
        <v>0</v>
      </c>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row>
    <row r="15" spans="2:59" ht="12.75" customHeight="1" x14ac:dyDescent="0.25">
      <c r="B15" s="69" t="s">
        <v>50</v>
      </c>
      <c r="C15" s="71"/>
      <c r="D15" s="72"/>
      <c r="E15" s="72"/>
      <c r="F15" s="72"/>
      <c r="G15" s="72"/>
      <c r="H15" s="72"/>
      <c r="I15" s="72"/>
      <c r="J15" s="72"/>
      <c r="K15" s="72"/>
      <c r="L15" s="72"/>
      <c r="M15" s="180">
        <f t="shared" si="0"/>
        <v>0</v>
      </c>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row>
    <row r="16" spans="2:59" ht="12.75" customHeight="1" x14ac:dyDescent="0.25">
      <c r="B16" s="69" t="s">
        <v>16</v>
      </c>
      <c r="C16" s="71"/>
      <c r="D16" s="72"/>
      <c r="E16" s="72"/>
      <c r="F16" s="72"/>
      <c r="G16" s="72"/>
      <c r="H16" s="72"/>
      <c r="I16" s="72"/>
      <c r="J16" s="72"/>
      <c r="K16" s="72"/>
      <c r="L16" s="72"/>
      <c r="M16" s="180">
        <f t="shared" si="0"/>
        <v>0</v>
      </c>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row>
    <row r="17" spans="2:59" ht="12.75" customHeight="1" x14ac:dyDescent="0.25">
      <c r="B17" s="69" t="s">
        <v>3</v>
      </c>
      <c r="C17" s="71"/>
      <c r="D17" s="72"/>
      <c r="E17" s="72"/>
      <c r="F17" s="72"/>
      <c r="G17" s="72"/>
      <c r="H17" s="72"/>
      <c r="I17" s="72"/>
      <c r="J17" s="72"/>
      <c r="K17" s="72"/>
      <c r="L17" s="72"/>
      <c r="M17" s="180">
        <f t="shared" si="0"/>
        <v>0</v>
      </c>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row>
    <row r="18" spans="2:59" ht="12.75" customHeight="1" x14ac:dyDescent="0.25">
      <c r="B18" s="69" t="s">
        <v>4</v>
      </c>
      <c r="C18" s="71"/>
      <c r="D18" s="72"/>
      <c r="E18" s="72"/>
      <c r="F18" s="72"/>
      <c r="G18" s="72"/>
      <c r="H18" s="72"/>
      <c r="I18" s="72"/>
      <c r="J18" s="72"/>
      <c r="K18" s="72"/>
      <c r="L18" s="72"/>
      <c r="M18" s="180">
        <f t="shared" si="0"/>
        <v>0</v>
      </c>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row>
    <row r="19" spans="2:59" ht="12.75" customHeight="1" x14ac:dyDescent="0.25">
      <c r="B19" s="69" t="s">
        <v>17</v>
      </c>
      <c r="C19" s="71"/>
      <c r="D19" s="72"/>
      <c r="E19" s="72"/>
      <c r="F19" s="72"/>
      <c r="G19" s="72"/>
      <c r="H19" s="72"/>
      <c r="I19" s="72"/>
      <c r="J19" s="72"/>
      <c r="K19" s="72"/>
      <c r="L19" s="72"/>
      <c r="M19" s="180">
        <f t="shared" si="0"/>
        <v>0</v>
      </c>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row>
    <row r="20" spans="2:59" ht="12.75" customHeight="1" x14ac:dyDescent="0.25">
      <c r="B20" s="69" t="s">
        <v>18</v>
      </c>
      <c r="C20" s="71"/>
      <c r="D20" s="72"/>
      <c r="E20" s="72"/>
      <c r="F20" s="72"/>
      <c r="G20" s="72"/>
      <c r="H20" s="72"/>
      <c r="I20" s="72"/>
      <c r="J20" s="72"/>
      <c r="K20" s="72"/>
      <c r="L20" s="72"/>
      <c r="M20" s="180">
        <f t="shared" si="0"/>
        <v>0</v>
      </c>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row>
    <row r="21" spans="2:59" ht="12.75" customHeight="1" x14ac:dyDescent="0.25">
      <c r="B21" s="69" t="s">
        <v>5</v>
      </c>
      <c r="C21" s="71"/>
      <c r="D21" s="72"/>
      <c r="E21" s="72"/>
      <c r="F21" s="72"/>
      <c r="G21" s="72"/>
      <c r="H21" s="72"/>
      <c r="I21" s="72"/>
      <c r="J21" s="72"/>
      <c r="K21" s="72"/>
      <c r="L21" s="72"/>
      <c r="M21" s="180">
        <f t="shared" si="0"/>
        <v>0</v>
      </c>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row>
    <row r="22" spans="2:59" ht="12.75" customHeight="1" x14ac:dyDescent="0.25">
      <c r="B22" s="73" t="s">
        <v>21</v>
      </c>
      <c r="C22" s="74"/>
      <c r="D22" s="74"/>
      <c r="E22" s="74"/>
      <c r="F22" s="74"/>
      <c r="G22" s="74"/>
      <c r="H22" s="74"/>
      <c r="I22" s="74"/>
      <c r="J22" s="74"/>
      <c r="K22" s="74"/>
      <c r="L22" s="74"/>
      <c r="M22" s="181">
        <f t="shared" si="0"/>
        <v>0</v>
      </c>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row>
    <row r="23" spans="2:59" ht="12.75" customHeight="1" x14ac:dyDescent="0.25">
      <c r="B23" s="75" t="s">
        <v>125</v>
      </c>
      <c r="C23" s="50">
        <f t="shared" ref="C23:M23" si="1">SUM(C10:C21)</f>
        <v>0</v>
      </c>
      <c r="D23" s="50">
        <f t="shared" si="1"/>
        <v>0</v>
      </c>
      <c r="E23" s="50">
        <f t="shared" si="1"/>
        <v>0</v>
      </c>
      <c r="F23" s="50">
        <f t="shared" si="1"/>
        <v>0</v>
      </c>
      <c r="G23" s="50">
        <f t="shared" si="1"/>
        <v>0</v>
      </c>
      <c r="H23" s="50">
        <f t="shared" si="1"/>
        <v>0</v>
      </c>
      <c r="I23" s="50">
        <f t="shared" si="1"/>
        <v>0</v>
      </c>
      <c r="J23" s="50">
        <f t="shared" si="1"/>
        <v>0</v>
      </c>
      <c r="K23" s="50">
        <f t="shared" si="1"/>
        <v>0</v>
      </c>
      <c r="L23" s="50">
        <f t="shared" si="1"/>
        <v>0</v>
      </c>
      <c r="M23" s="50">
        <f t="shared" si="1"/>
        <v>0</v>
      </c>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row>
    <row r="24" spans="2:59" ht="12.75" customHeight="1" x14ac:dyDescent="0.25">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row>
    <row r="25" spans="2:59" ht="12.75" customHeight="1" x14ac:dyDescent="0.25">
      <c r="B25" s="211"/>
      <c r="C25" s="204" t="s">
        <v>94</v>
      </c>
      <c r="D25" s="204"/>
      <c r="E25" s="204" t="s">
        <v>94</v>
      </c>
      <c r="F25" s="204"/>
      <c r="G25" s="213" t="s">
        <v>9</v>
      </c>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row>
    <row r="26" spans="2:59" ht="12.75" customHeight="1" x14ac:dyDescent="0.25">
      <c r="B26" s="211"/>
      <c r="C26" s="219" t="s">
        <v>95</v>
      </c>
      <c r="D26" s="219"/>
      <c r="E26" s="219" t="s">
        <v>65</v>
      </c>
      <c r="F26" s="219"/>
      <c r="G26" s="214"/>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row>
    <row r="27" spans="2:59" ht="12.75" customHeight="1" x14ac:dyDescent="0.25">
      <c r="B27" s="69" t="s">
        <v>1</v>
      </c>
      <c r="C27" s="220"/>
      <c r="D27" s="220"/>
      <c r="E27" s="220"/>
      <c r="F27" s="220"/>
      <c r="G27" s="50">
        <f>SUM(C27:F27)</f>
        <v>0</v>
      </c>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row>
    <row r="28" spans="2:59" ht="12.75" customHeight="1" x14ac:dyDescent="0.25">
      <c r="B28" s="160" t="s">
        <v>194</v>
      </c>
      <c r="C28" s="220"/>
      <c r="D28" s="220"/>
      <c r="E28" s="220"/>
      <c r="F28" s="220"/>
      <c r="G28" s="50">
        <f t="shared" ref="G28:G39" si="2">SUM(C28:E28)</f>
        <v>0</v>
      </c>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row>
    <row r="29" spans="2:59" ht="12.75" customHeight="1" x14ac:dyDescent="0.25">
      <c r="B29" s="69" t="s">
        <v>195</v>
      </c>
      <c r="C29" s="221"/>
      <c r="D29" s="222"/>
      <c r="E29" s="221"/>
      <c r="F29" s="222"/>
      <c r="G29" s="50">
        <f t="shared" si="2"/>
        <v>0</v>
      </c>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row>
    <row r="30" spans="2:59" ht="12.75" customHeight="1" x14ac:dyDescent="0.25">
      <c r="B30" s="69" t="s">
        <v>231</v>
      </c>
      <c r="C30" s="221"/>
      <c r="D30" s="222"/>
      <c r="E30" s="221"/>
      <c r="F30" s="222"/>
      <c r="G30" s="50">
        <f t="shared" si="2"/>
        <v>0</v>
      </c>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row>
    <row r="31" spans="2:59" ht="12.75" customHeight="1" x14ac:dyDescent="0.25">
      <c r="B31" s="69" t="s">
        <v>230</v>
      </c>
      <c r="C31" s="220"/>
      <c r="D31" s="220"/>
      <c r="E31" s="220"/>
      <c r="F31" s="220"/>
      <c r="G31" s="50">
        <f t="shared" si="2"/>
        <v>0</v>
      </c>
      <c r="H31" s="56"/>
      <c r="I31" s="56"/>
      <c r="J31" s="56"/>
      <c r="K31" s="56"/>
      <c r="L31" s="56"/>
      <c r="M31" s="56"/>
      <c r="N31" s="56"/>
      <c r="O31" s="56"/>
      <c r="P31" s="56"/>
      <c r="Q31" s="56"/>
      <c r="R31" s="78"/>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row>
    <row r="32" spans="2:59" ht="12.75" customHeight="1" x14ac:dyDescent="0.25">
      <c r="B32" s="69" t="s">
        <v>50</v>
      </c>
      <c r="C32" s="220"/>
      <c r="D32" s="220"/>
      <c r="E32" s="220"/>
      <c r="F32" s="220"/>
      <c r="G32" s="50">
        <f t="shared" si="2"/>
        <v>0</v>
      </c>
      <c r="H32" s="56"/>
      <c r="I32" s="56"/>
      <c r="J32" s="56"/>
      <c r="K32" s="56"/>
      <c r="L32" s="56"/>
      <c r="M32" s="56"/>
      <c r="N32" s="56"/>
      <c r="O32" s="56"/>
      <c r="P32" s="56"/>
      <c r="Q32" s="56"/>
      <c r="R32" s="79"/>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row>
    <row r="33" spans="2:59" ht="12.75" customHeight="1" x14ac:dyDescent="0.25">
      <c r="B33" s="69" t="s">
        <v>16</v>
      </c>
      <c r="C33" s="220"/>
      <c r="D33" s="220"/>
      <c r="E33" s="220"/>
      <c r="F33" s="220"/>
      <c r="G33" s="50">
        <f t="shared" si="2"/>
        <v>0</v>
      </c>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row>
    <row r="34" spans="2:59" ht="12.75" customHeight="1" x14ac:dyDescent="0.25">
      <c r="B34" s="69" t="s">
        <v>3</v>
      </c>
      <c r="C34" s="220"/>
      <c r="D34" s="220"/>
      <c r="E34" s="220"/>
      <c r="F34" s="220"/>
      <c r="G34" s="50">
        <f t="shared" si="2"/>
        <v>0</v>
      </c>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row>
    <row r="35" spans="2:59" ht="12.75" customHeight="1" x14ac:dyDescent="0.25">
      <c r="B35" s="69" t="s">
        <v>4</v>
      </c>
      <c r="C35" s="220"/>
      <c r="D35" s="220"/>
      <c r="E35" s="220"/>
      <c r="F35" s="220"/>
      <c r="G35" s="50">
        <f t="shared" si="2"/>
        <v>0</v>
      </c>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row>
    <row r="36" spans="2:59" ht="12.75" customHeight="1" x14ac:dyDescent="0.25">
      <c r="B36" s="69" t="s">
        <v>17</v>
      </c>
      <c r="C36" s="220"/>
      <c r="D36" s="220"/>
      <c r="E36" s="220"/>
      <c r="F36" s="220"/>
      <c r="G36" s="50">
        <f t="shared" si="2"/>
        <v>0</v>
      </c>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row>
    <row r="37" spans="2:59" ht="12.75" customHeight="1" x14ac:dyDescent="0.25">
      <c r="B37" s="69" t="s">
        <v>18</v>
      </c>
      <c r="C37" s="220"/>
      <c r="D37" s="220"/>
      <c r="E37" s="220"/>
      <c r="F37" s="220"/>
      <c r="G37" s="50">
        <f t="shared" si="2"/>
        <v>0</v>
      </c>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row>
    <row r="38" spans="2:59" ht="12.75" customHeight="1" x14ac:dyDescent="0.25">
      <c r="B38" s="69" t="s">
        <v>5</v>
      </c>
      <c r="C38" s="220"/>
      <c r="D38" s="220"/>
      <c r="E38" s="220"/>
      <c r="F38" s="220"/>
      <c r="G38" s="50">
        <f t="shared" si="2"/>
        <v>0</v>
      </c>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row>
    <row r="39" spans="2:59" ht="12.75" customHeight="1" x14ac:dyDescent="0.25">
      <c r="B39" s="73" t="s">
        <v>21</v>
      </c>
      <c r="C39" s="223"/>
      <c r="D39" s="223"/>
      <c r="E39" s="223"/>
      <c r="F39" s="223"/>
      <c r="G39" s="176">
        <f t="shared" si="2"/>
        <v>0</v>
      </c>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row>
    <row r="40" spans="2:59" ht="12.75" customHeight="1" x14ac:dyDescent="0.25">
      <c r="B40" s="75" t="s">
        <v>125</v>
      </c>
      <c r="C40" s="224">
        <f>SUM(C27:D38)</f>
        <v>0</v>
      </c>
      <c r="D40" s="225"/>
      <c r="E40" s="224">
        <f>SUM(E27:F38)</f>
        <v>0</v>
      </c>
      <c r="F40" s="225"/>
      <c r="G40" s="50">
        <f>SUM(G27:G38)</f>
        <v>0</v>
      </c>
      <c r="H40" s="56"/>
      <c r="I40" s="56"/>
      <c r="J40" s="56"/>
      <c r="K40" s="56"/>
      <c r="L40" s="56"/>
      <c r="M40" s="56"/>
      <c r="N40" s="56"/>
      <c r="O40" s="56"/>
      <c r="P40" s="56"/>
      <c r="Q40" s="56"/>
      <c r="R40" s="79"/>
      <c r="S40" s="78"/>
      <c r="T40" s="78"/>
      <c r="U40" s="78"/>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row>
    <row r="41" spans="2:59" x14ac:dyDescent="0.25">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row>
  </sheetData>
  <mergeCells count="42">
    <mergeCell ref="C38:D38"/>
    <mergeCell ref="E38:F38"/>
    <mergeCell ref="C39:D39"/>
    <mergeCell ref="E39:F39"/>
    <mergeCell ref="E40:F40"/>
    <mergeCell ref="C40:D40"/>
    <mergeCell ref="C35:D35"/>
    <mergeCell ref="E35:F35"/>
    <mergeCell ref="C36:D36"/>
    <mergeCell ref="E36:F36"/>
    <mergeCell ref="C37:D37"/>
    <mergeCell ref="E37:F37"/>
    <mergeCell ref="C32:D32"/>
    <mergeCell ref="E32:F32"/>
    <mergeCell ref="C33:D33"/>
    <mergeCell ref="E33:F33"/>
    <mergeCell ref="C34:D34"/>
    <mergeCell ref="E34:F34"/>
    <mergeCell ref="C27:D27"/>
    <mergeCell ref="E27:F27"/>
    <mergeCell ref="C28:D28"/>
    <mergeCell ref="E28:F28"/>
    <mergeCell ref="C31:D31"/>
    <mergeCell ref="E31:F31"/>
    <mergeCell ref="C29:D29"/>
    <mergeCell ref="E29:F29"/>
    <mergeCell ref="C30:D30"/>
    <mergeCell ref="E30:F30"/>
    <mergeCell ref="B7:BF7"/>
    <mergeCell ref="B25:B26"/>
    <mergeCell ref="C25:D25"/>
    <mergeCell ref="E25:F25"/>
    <mergeCell ref="G25:G26"/>
    <mergeCell ref="C26:D26"/>
    <mergeCell ref="E26:F26"/>
    <mergeCell ref="B5:C5"/>
    <mergeCell ref="B1:BF1"/>
    <mergeCell ref="B3:C3"/>
    <mergeCell ref="B4:C4"/>
    <mergeCell ref="D3:M3"/>
    <mergeCell ref="D4:M4"/>
    <mergeCell ref="D5:M5"/>
  </mergeCells>
  <pageMargins left="0.7" right="0.7" top="0.75" bottom="0.75" header="0.3" footer="0.3"/>
  <pageSetup paperSize="9" scale="10" fitToHeight="0" orientation="landscape"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BG47"/>
  <sheetViews>
    <sheetView zoomScaleNormal="100" workbookViewId="0">
      <selection activeCell="D12" sqref="D12"/>
    </sheetView>
  </sheetViews>
  <sheetFormatPr baseColWidth="10" defaultRowHeight="12.75" x14ac:dyDescent="0.25"/>
  <cols>
    <col min="1" max="1" width="2.85546875" style="61" customWidth="1"/>
    <col min="2" max="2" width="44.140625" style="61" customWidth="1"/>
    <col min="3" max="3" width="15.7109375" style="61" customWidth="1"/>
    <col min="4" max="58" width="11.85546875" style="61" customWidth="1"/>
    <col min="59" max="16384" width="11.42578125" style="61"/>
  </cols>
  <sheetData>
    <row r="1" spans="2:59" ht="28.5" customHeight="1" x14ac:dyDescent="0.25">
      <c r="B1" s="203" t="s">
        <v>96</v>
      </c>
      <c r="C1" s="203"/>
      <c r="D1" s="203"/>
      <c r="E1" s="203"/>
      <c r="F1" s="203"/>
      <c r="G1" s="203"/>
      <c r="H1" s="203"/>
      <c r="I1" s="203"/>
      <c r="J1" s="203"/>
      <c r="K1" s="203"/>
      <c r="L1" s="203"/>
      <c r="M1" s="203"/>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56"/>
    </row>
    <row r="2" spans="2:59" x14ac:dyDescent="0.25">
      <c r="B2" s="56"/>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row>
    <row r="3" spans="2:59" ht="15.75" x14ac:dyDescent="0.25">
      <c r="B3" s="209" t="s">
        <v>135</v>
      </c>
      <c r="C3" s="210"/>
      <c r="D3" s="212"/>
      <c r="E3" s="212"/>
      <c r="F3" s="212"/>
      <c r="G3" s="212"/>
      <c r="H3" s="212"/>
      <c r="I3" s="212"/>
      <c r="J3" s="212"/>
      <c r="K3" s="212"/>
      <c r="L3" s="212"/>
      <c r="M3" s="212"/>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row>
    <row r="4" spans="2:59" ht="15.75" x14ac:dyDescent="0.25">
      <c r="B4" s="209" t="s">
        <v>136</v>
      </c>
      <c r="C4" s="210"/>
      <c r="D4" s="212"/>
      <c r="E4" s="212"/>
      <c r="F4" s="212"/>
      <c r="G4" s="212"/>
      <c r="H4" s="212"/>
      <c r="I4" s="212"/>
      <c r="J4" s="212"/>
      <c r="K4" s="212"/>
      <c r="L4" s="212"/>
      <c r="M4" s="212"/>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row>
    <row r="5" spans="2:59" ht="15.75" x14ac:dyDescent="0.25">
      <c r="B5" s="209" t="s">
        <v>139</v>
      </c>
      <c r="C5" s="210"/>
      <c r="D5" s="212"/>
      <c r="E5" s="212"/>
      <c r="F5" s="212"/>
      <c r="G5" s="212"/>
      <c r="H5" s="212"/>
      <c r="I5" s="212"/>
      <c r="J5" s="212"/>
      <c r="K5" s="212"/>
      <c r="L5" s="212"/>
      <c r="M5" s="212"/>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row>
    <row r="6" spans="2:59" ht="7.5" customHeight="1" x14ac:dyDescent="0.25">
      <c r="B6" s="56"/>
      <c r="C6" s="56"/>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row>
    <row r="7" spans="2:59" x14ac:dyDescent="0.2">
      <c r="B7" s="184"/>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row>
    <row r="8" spans="2:59" ht="6.75" customHeight="1" x14ac:dyDescent="0.25">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row>
    <row r="9" spans="2:59" ht="12.75" customHeight="1" x14ac:dyDescent="0.25">
      <c r="B9" s="201" t="s">
        <v>232</v>
      </c>
      <c r="C9" s="201"/>
      <c r="D9" s="201"/>
      <c r="E9" s="201"/>
      <c r="F9" s="201"/>
      <c r="G9" s="201"/>
      <c r="H9" s="201"/>
      <c r="I9" s="201"/>
      <c r="J9" s="201"/>
      <c r="K9" s="201"/>
      <c r="L9" s="201"/>
      <c r="M9" s="201"/>
      <c r="N9" s="201"/>
      <c r="O9" s="201"/>
      <c r="P9" s="201"/>
      <c r="Q9" s="201"/>
      <c r="R9" s="201"/>
      <c r="S9" s="201"/>
      <c r="T9" s="201"/>
      <c r="U9" s="201"/>
      <c r="V9" s="201"/>
      <c r="W9" s="201"/>
      <c r="X9" s="201"/>
      <c r="Y9" s="201"/>
      <c r="Z9" s="201"/>
      <c r="AA9" s="201"/>
      <c r="AB9" s="201"/>
      <c r="AC9" s="201"/>
      <c r="AD9" s="201"/>
      <c r="AE9" s="201"/>
      <c r="AF9" s="201"/>
      <c r="AG9" s="201"/>
      <c r="AH9" s="201"/>
      <c r="AI9" s="201"/>
      <c r="AJ9" s="201"/>
      <c r="AK9" s="201"/>
      <c r="AL9" s="201"/>
      <c r="AM9" s="201"/>
      <c r="AN9" s="201"/>
      <c r="AO9" s="201"/>
      <c r="AP9" s="201"/>
      <c r="AQ9" s="201"/>
      <c r="AR9" s="201"/>
      <c r="AS9" s="201"/>
      <c r="AT9" s="201"/>
      <c r="AU9" s="201"/>
      <c r="AV9" s="201"/>
      <c r="AW9" s="201"/>
      <c r="AX9" s="201"/>
      <c r="AY9" s="201"/>
      <c r="AZ9" s="201"/>
      <c r="BA9" s="201"/>
      <c r="BB9" s="201"/>
      <c r="BC9" s="201"/>
      <c r="BD9" s="201"/>
      <c r="BE9" s="201"/>
      <c r="BF9" s="201"/>
      <c r="BG9" s="56"/>
    </row>
    <row r="10" spans="2:59" ht="12.75" customHeight="1" x14ac:dyDescent="0.25">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row>
    <row r="11" spans="2:59" s="65" customFormat="1" ht="12.75" customHeight="1" x14ac:dyDescent="0.25">
      <c r="B11" s="63" t="s">
        <v>72</v>
      </c>
      <c r="C11" s="63" t="s">
        <v>97</v>
      </c>
      <c r="D11" s="63" t="s">
        <v>51</v>
      </c>
      <c r="E11" s="63" t="s">
        <v>53</v>
      </c>
      <c r="F11" s="63" t="s">
        <v>54</v>
      </c>
      <c r="G11" s="63" t="s">
        <v>55</v>
      </c>
      <c r="H11" s="63" t="s">
        <v>56</v>
      </c>
      <c r="I11" s="63" t="s">
        <v>57</v>
      </c>
      <c r="J11" s="63" t="s">
        <v>58</v>
      </c>
      <c r="K11" s="63" t="s">
        <v>59</v>
      </c>
      <c r="L11" s="63" t="s">
        <v>60</v>
      </c>
      <c r="M11" s="81" t="s">
        <v>9</v>
      </c>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row>
    <row r="12" spans="2:59" ht="14.25" customHeight="1" x14ac:dyDescent="0.25">
      <c r="B12" s="69" t="s">
        <v>1</v>
      </c>
      <c r="C12" s="70"/>
      <c r="D12" s="70"/>
      <c r="E12" s="70"/>
      <c r="F12" s="70"/>
      <c r="G12" s="70"/>
      <c r="H12" s="70"/>
      <c r="I12" s="70"/>
      <c r="J12" s="70"/>
      <c r="K12" s="70"/>
      <c r="L12" s="70"/>
      <c r="M12" s="180">
        <f>SUM(C12:L12)</f>
        <v>0</v>
      </c>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row>
    <row r="13" spans="2:59" ht="12.75" customHeight="1" x14ac:dyDescent="0.25">
      <c r="B13" s="160" t="s">
        <v>194</v>
      </c>
      <c r="C13" s="71"/>
      <c r="D13" s="72"/>
      <c r="E13" s="72"/>
      <c r="F13" s="72"/>
      <c r="G13" s="72"/>
      <c r="H13" s="72"/>
      <c r="I13" s="72"/>
      <c r="J13" s="72"/>
      <c r="K13" s="72"/>
      <c r="L13" s="72"/>
      <c r="M13" s="180">
        <f t="shared" ref="M13:M27" si="0">SUM(C13:L13)</f>
        <v>0</v>
      </c>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row>
    <row r="14" spans="2:59" ht="12.75" customHeight="1" x14ac:dyDescent="0.25">
      <c r="B14" s="69" t="s">
        <v>195</v>
      </c>
      <c r="C14" s="71"/>
      <c r="D14" s="72"/>
      <c r="E14" s="72"/>
      <c r="F14" s="72"/>
      <c r="G14" s="72"/>
      <c r="H14" s="72"/>
      <c r="I14" s="72"/>
      <c r="J14" s="72"/>
      <c r="K14" s="72"/>
      <c r="L14" s="72"/>
      <c r="M14" s="180">
        <f t="shared" si="0"/>
        <v>0</v>
      </c>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row>
    <row r="15" spans="2:59" ht="12.75" customHeight="1" x14ac:dyDescent="0.25">
      <c r="B15" s="69" t="s">
        <v>231</v>
      </c>
      <c r="C15" s="71"/>
      <c r="D15" s="72"/>
      <c r="E15" s="72"/>
      <c r="F15" s="72"/>
      <c r="G15" s="72"/>
      <c r="H15" s="72"/>
      <c r="I15" s="72"/>
      <c r="J15" s="72"/>
      <c r="K15" s="72"/>
      <c r="L15" s="72"/>
      <c r="M15" s="180">
        <f t="shared" si="0"/>
        <v>0</v>
      </c>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row>
    <row r="16" spans="2:59" ht="12.75" customHeight="1" x14ac:dyDescent="0.25">
      <c r="B16" s="69" t="s">
        <v>230</v>
      </c>
      <c r="C16" s="71"/>
      <c r="D16" s="72"/>
      <c r="E16" s="72"/>
      <c r="F16" s="72"/>
      <c r="G16" s="72"/>
      <c r="H16" s="72"/>
      <c r="I16" s="72"/>
      <c r="J16" s="72"/>
      <c r="K16" s="72"/>
      <c r="L16" s="72"/>
      <c r="M16" s="180">
        <f t="shared" si="0"/>
        <v>0</v>
      </c>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row>
    <row r="17" spans="2:59" ht="12.75" customHeight="1" x14ac:dyDescent="0.25">
      <c r="B17" s="69" t="s">
        <v>50</v>
      </c>
      <c r="C17" s="71"/>
      <c r="D17" s="72"/>
      <c r="E17" s="72"/>
      <c r="F17" s="72"/>
      <c r="G17" s="72"/>
      <c r="H17" s="72"/>
      <c r="I17" s="72"/>
      <c r="J17" s="72"/>
      <c r="K17" s="72"/>
      <c r="L17" s="72"/>
      <c r="M17" s="180">
        <f t="shared" si="0"/>
        <v>0</v>
      </c>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row>
    <row r="18" spans="2:59" ht="12.75" customHeight="1" x14ac:dyDescent="0.25">
      <c r="B18" s="69" t="s">
        <v>16</v>
      </c>
      <c r="C18" s="71"/>
      <c r="D18" s="72"/>
      <c r="E18" s="72"/>
      <c r="F18" s="72"/>
      <c r="G18" s="72"/>
      <c r="H18" s="72"/>
      <c r="I18" s="72"/>
      <c r="J18" s="72"/>
      <c r="K18" s="72"/>
      <c r="L18" s="72"/>
      <c r="M18" s="180">
        <f t="shared" si="0"/>
        <v>0</v>
      </c>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row>
    <row r="19" spans="2:59" ht="12.75" customHeight="1" x14ac:dyDescent="0.25">
      <c r="B19" s="69" t="s">
        <v>3</v>
      </c>
      <c r="C19" s="71"/>
      <c r="D19" s="72"/>
      <c r="E19" s="72"/>
      <c r="F19" s="72"/>
      <c r="G19" s="72"/>
      <c r="H19" s="72"/>
      <c r="I19" s="72"/>
      <c r="J19" s="72"/>
      <c r="K19" s="72"/>
      <c r="L19" s="72"/>
      <c r="M19" s="180">
        <f t="shared" si="0"/>
        <v>0</v>
      </c>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row>
    <row r="20" spans="2:59" ht="12.75" customHeight="1" x14ac:dyDescent="0.25">
      <c r="B20" s="69" t="s">
        <v>4</v>
      </c>
      <c r="C20" s="71"/>
      <c r="D20" s="72"/>
      <c r="E20" s="72"/>
      <c r="F20" s="72"/>
      <c r="G20" s="72"/>
      <c r="H20" s="72"/>
      <c r="I20" s="72"/>
      <c r="J20" s="72"/>
      <c r="K20" s="72"/>
      <c r="L20" s="72"/>
      <c r="M20" s="180">
        <f t="shared" si="0"/>
        <v>0</v>
      </c>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row>
    <row r="21" spans="2:59" ht="12.75" customHeight="1" x14ac:dyDescent="0.25">
      <c r="B21" s="69" t="s">
        <v>17</v>
      </c>
      <c r="C21" s="71"/>
      <c r="D21" s="72"/>
      <c r="E21" s="72"/>
      <c r="F21" s="72"/>
      <c r="G21" s="72"/>
      <c r="H21" s="72"/>
      <c r="I21" s="72"/>
      <c r="J21" s="72"/>
      <c r="K21" s="72"/>
      <c r="L21" s="72"/>
      <c r="M21" s="180">
        <f t="shared" si="0"/>
        <v>0</v>
      </c>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row>
    <row r="22" spans="2:59" ht="12.75" customHeight="1" x14ac:dyDescent="0.25">
      <c r="B22" s="69" t="s">
        <v>18</v>
      </c>
      <c r="C22" s="71"/>
      <c r="D22" s="72"/>
      <c r="E22" s="72"/>
      <c r="F22" s="72"/>
      <c r="G22" s="72"/>
      <c r="H22" s="72"/>
      <c r="I22" s="72"/>
      <c r="J22" s="72"/>
      <c r="K22" s="72"/>
      <c r="L22" s="72"/>
      <c r="M22" s="180">
        <f t="shared" si="0"/>
        <v>0</v>
      </c>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row>
    <row r="23" spans="2:59" ht="12.75" customHeight="1" x14ac:dyDescent="0.25">
      <c r="B23" s="69" t="s">
        <v>5</v>
      </c>
      <c r="C23" s="71"/>
      <c r="D23" s="72"/>
      <c r="E23" s="72"/>
      <c r="F23" s="72"/>
      <c r="G23" s="72"/>
      <c r="H23" s="72"/>
      <c r="I23" s="72"/>
      <c r="J23" s="72"/>
      <c r="K23" s="72"/>
      <c r="L23" s="72"/>
      <c r="M23" s="180">
        <f t="shared" si="0"/>
        <v>0</v>
      </c>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row>
    <row r="24" spans="2:59" ht="12.75" customHeight="1" x14ac:dyDescent="0.25">
      <c r="B24" s="69" t="s">
        <v>239</v>
      </c>
      <c r="C24" s="71"/>
      <c r="D24" s="72"/>
      <c r="E24" s="72"/>
      <c r="F24" s="72"/>
      <c r="G24" s="72"/>
      <c r="H24" s="72"/>
      <c r="I24" s="72"/>
      <c r="J24" s="72"/>
      <c r="K24" s="72"/>
      <c r="L24" s="72"/>
      <c r="M24" s="180">
        <f t="shared" si="0"/>
        <v>0</v>
      </c>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row>
    <row r="25" spans="2:59" ht="12.75" customHeight="1" x14ac:dyDescent="0.25">
      <c r="B25" s="69" t="s">
        <v>124</v>
      </c>
      <c r="C25" s="71"/>
      <c r="D25" s="72"/>
      <c r="E25" s="72"/>
      <c r="F25" s="72"/>
      <c r="G25" s="72"/>
      <c r="H25" s="72"/>
      <c r="I25" s="72"/>
      <c r="J25" s="72"/>
      <c r="K25" s="72"/>
      <c r="L25" s="72"/>
      <c r="M25" s="180">
        <f t="shared" si="0"/>
        <v>0</v>
      </c>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row>
    <row r="26" spans="2:59" ht="12.75" customHeight="1" x14ac:dyDescent="0.25">
      <c r="B26" s="73" t="s">
        <v>21</v>
      </c>
      <c r="C26" s="74"/>
      <c r="D26" s="74"/>
      <c r="E26" s="74"/>
      <c r="F26" s="74"/>
      <c r="G26" s="74"/>
      <c r="H26" s="74"/>
      <c r="I26" s="74"/>
      <c r="J26" s="74"/>
      <c r="K26" s="74"/>
      <c r="L26" s="74"/>
      <c r="M26" s="181">
        <f t="shared" si="0"/>
        <v>0</v>
      </c>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row>
    <row r="27" spans="2:59" ht="12.75" customHeight="1" x14ac:dyDescent="0.25">
      <c r="B27" s="75" t="s">
        <v>125</v>
      </c>
      <c r="C27" s="50"/>
      <c r="D27" s="50"/>
      <c r="E27" s="50"/>
      <c r="F27" s="50"/>
      <c r="G27" s="50"/>
      <c r="H27" s="50"/>
      <c r="I27" s="50"/>
      <c r="J27" s="50"/>
      <c r="K27" s="50"/>
      <c r="L27" s="50"/>
      <c r="M27" s="180">
        <f t="shared" si="0"/>
        <v>0</v>
      </c>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row>
    <row r="28" spans="2:59" ht="12.75" customHeight="1" x14ac:dyDescent="0.25">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row>
    <row r="29" spans="2:59" ht="12.75" customHeight="1" x14ac:dyDescent="0.25">
      <c r="B29" s="211"/>
      <c r="C29" s="204" t="s">
        <v>94</v>
      </c>
      <c r="D29" s="204"/>
      <c r="E29" s="204" t="s">
        <v>94</v>
      </c>
      <c r="F29" s="204"/>
      <c r="G29" s="213" t="s">
        <v>9</v>
      </c>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row>
    <row r="30" spans="2:59" ht="12.75" customHeight="1" x14ac:dyDescent="0.25">
      <c r="B30" s="211"/>
      <c r="C30" s="219" t="s">
        <v>95</v>
      </c>
      <c r="D30" s="219"/>
      <c r="E30" s="219" t="s">
        <v>65</v>
      </c>
      <c r="F30" s="219"/>
      <c r="G30" s="214"/>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row>
    <row r="31" spans="2:59" ht="12.75" customHeight="1" x14ac:dyDescent="0.25">
      <c r="B31" s="69" t="s">
        <v>1</v>
      </c>
      <c r="C31" s="220"/>
      <c r="D31" s="220"/>
      <c r="E31" s="220"/>
      <c r="F31" s="220"/>
      <c r="G31" s="50">
        <f t="shared" ref="G31:G42" si="1">SUM(C31:E31)</f>
        <v>0</v>
      </c>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row>
    <row r="32" spans="2:59" ht="12.75" customHeight="1" x14ac:dyDescent="0.25">
      <c r="B32" s="160" t="s">
        <v>194</v>
      </c>
      <c r="C32" s="220"/>
      <c r="D32" s="220"/>
      <c r="E32" s="220"/>
      <c r="F32" s="220"/>
      <c r="G32" s="50">
        <f t="shared" si="1"/>
        <v>0</v>
      </c>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row>
    <row r="33" spans="2:59" ht="12.75" customHeight="1" x14ac:dyDescent="0.25">
      <c r="B33" s="69" t="s">
        <v>195</v>
      </c>
      <c r="C33" s="220"/>
      <c r="D33" s="220"/>
      <c r="E33" s="221"/>
      <c r="F33" s="222"/>
      <c r="G33" s="50">
        <f t="shared" si="1"/>
        <v>0</v>
      </c>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row>
    <row r="34" spans="2:59" ht="12.75" customHeight="1" x14ac:dyDescent="0.25">
      <c r="B34" s="69" t="s">
        <v>231</v>
      </c>
      <c r="C34" s="221"/>
      <c r="D34" s="222"/>
      <c r="E34" s="221"/>
      <c r="F34" s="222"/>
      <c r="G34" s="50">
        <f t="shared" si="1"/>
        <v>0</v>
      </c>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row>
    <row r="35" spans="2:59" ht="12.75" customHeight="1" x14ac:dyDescent="0.25">
      <c r="B35" s="69" t="s">
        <v>230</v>
      </c>
      <c r="C35" s="220"/>
      <c r="D35" s="220"/>
      <c r="E35" s="220"/>
      <c r="F35" s="220"/>
      <c r="G35" s="50">
        <f t="shared" si="1"/>
        <v>0</v>
      </c>
      <c r="H35" s="56"/>
      <c r="I35" s="56"/>
      <c r="J35" s="56"/>
      <c r="K35" s="56"/>
      <c r="L35" s="56"/>
      <c r="M35" s="56"/>
      <c r="N35" s="56"/>
      <c r="O35" s="56"/>
      <c r="P35" s="56"/>
      <c r="Q35" s="56"/>
      <c r="R35" s="78"/>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row>
    <row r="36" spans="2:59" ht="12.75" customHeight="1" x14ac:dyDescent="0.25">
      <c r="B36" s="69" t="s">
        <v>50</v>
      </c>
      <c r="C36" s="220"/>
      <c r="D36" s="220"/>
      <c r="E36" s="220"/>
      <c r="F36" s="220"/>
      <c r="G36" s="50">
        <f t="shared" si="1"/>
        <v>0</v>
      </c>
      <c r="H36" s="56"/>
      <c r="I36" s="56"/>
      <c r="J36" s="56"/>
      <c r="K36" s="56"/>
      <c r="L36" s="56"/>
      <c r="M36" s="56"/>
      <c r="N36" s="56"/>
      <c r="O36" s="56"/>
      <c r="P36" s="56"/>
      <c r="Q36" s="56"/>
      <c r="R36" s="79"/>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row>
    <row r="37" spans="2:59" ht="12.75" customHeight="1" x14ac:dyDescent="0.25">
      <c r="B37" s="69" t="s">
        <v>16</v>
      </c>
      <c r="C37" s="220"/>
      <c r="D37" s="220"/>
      <c r="E37" s="220"/>
      <c r="F37" s="220"/>
      <c r="G37" s="50">
        <f t="shared" si="1"/>
        <v>0</v>
      </c>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row>
    <row r="38" spans="2:59" ht="12.75" customHeight="1" x14ac:dyDescent="0.25">
      <c r="B38" s="69" t="s">
        <v>3</v>
      </c>
      <c r="C38" s="220"/>
      <c r="D38" s="220"/>
      <c r="E38" s="220"/>
      <c r="F38" s="220"/>
      <c r="G38" s="50">
        <f t="shared" si="1"/>
        <v>0</v>
      </c>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row>
    <row r="39" spans="2:59" ht="12.75" customHeight="1" x14ac:dyDescent="0.25">
      <c r="B39" s="69" t="s">
        <v>4</v>
      </c>
      <c r="C39" s="220"/>
      <c r="D39" s="220"/>
      <c r="E39" s="220"/>
      <c r="F39" s="220"/>
      <c r="G39" s="50">
        <f t="shared" si="1"/>
        <v>0</v>
      </c>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row>
    <row r="40" spans="2:59" ht="12.75" customHeight="1" x14ac:dyDescent="0.25">
      <c r="B40" s="69" t="s">
        <v>17</v>
      </c>
      <c r="C40" s="220"/>
      <c r="D40" s="220"/>
      <c r="E40" s="220"/>
      <c r="F40" s="220"/>
      <c r="G40" s="50">
        <f t="shared" si="1"/>
        <v>0</v>
      </c>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row>
    <row r="41" spans="2:59" ht="12.75" customHeight="1" x14ac:dyDescent="0.25">
      <c r="B41" s="69" t="s">
        <v>18</v>
      </c>
      <c r="C41" s="220"/>
      <c r="D41" s="220"/>
      <c r="E41" s="220"/>
      <c r="F41" s="220"/>
      <c r="G41" s="50">
        <f t="shared" si="1"/>
        <v>0</v>
      </c>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row>
    <row r="42" spans="2:59" ht="12.75" customHeight="1" x14ac:dyDescent="0.25">
      <c r="B42" s="69" t="s">
        <v>5</v>
      </c>
      <c r="C42" s="220"/>
      <c r="D42" s="220"/>
      <c r="E42" s="220"/>
      <c r="F42" s="220"/>
      <c r="G42" s="50">
        <f t="shared" si="1"/>
        <v>0</v>
      </c>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row>
    <row r="43" spans="2:59" ht="12.75" customHeight="1" x14ac:dyDescent="0.25">
      <c r="B43" s="69" t="s">
        <v>123</v>
      </c>
      <c r="C43" s="220"/>
      <c r="D43" s="220"/>
      <c r="E43" s="220"/>
      <c r="F43" s="220"/>
      <c r="G43" s="50">
        <f t="shared" ref="G43:G44" si="2">SUM(C43:E43)</f>
        <v>0</v>
      </c>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row>
    <row r="44" spans="2:59" ht="12.75" customHeight="1" x14ac:dyDescent="0.25">
      <c r="B44" s="69" t="s">
        <v>124</v>
      </c>
      <c r="C44" s="220"/>
      <c r="D44" s="220"/>
      <c r="E44" s="220"/>
      <c r="F44" s="220"/>
      <c r="G44" s="50">
        <f t="shared" si="2"/>
        <v>0</v>
      </c>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row>
    <row r="45" spans="2:59" ht="12.75" customHeight="1" x14ac:dyDescent="0.25">
      <c r="B45" s="73" t="s">
        <v>21</v>
      </c>
      <c r="C45" s="223"/>
      <c r="D45" s="223"/>
      <c r="E45" s="223"/>
      <c r="F45" s="223"/>
      <c r="G45" s="82">
        <f>SUM(C45:E45)</f>
        <v>0</v>
      </c>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row>
    <row r="46" spans="2:59" ht="12.75" customHeight="1" x14ac:dyDescent="0.25">
      <c r="B46" s="75" t="s">
        <v>125</v>
      </c>
      <c r="C46" s="220"/>
      <c r="D46" s="220"/>
      <c r="E46" s="220"/>
      <c r="F46" s="220"/>
      <c r="G46" s="50">
        <f>SUM(G31:G44)</f>
        <v>0</v>
      </c>
      <c r="H46" s="56"/>
      <c r="I46" s="56"/>
      <c r="J46" s="56"/>
      <c r="K46" s="56"/>
      <c r="L46" s="56"/>
      <c r="M46" s="56"/>
      <c r="N46" s="56"/>
      <c r="O46" s="56"/>
      <c r="P46" s="56"/>
      <c r="Q46" s="56"/>
      <c r="R46" s="79"/>
      <c r="S46" s="78"/>
      <c r="T46" s="78"/>
      <c r="U46" s="78"/>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row>
    <row r="47" spans="2:59" x14ac:dyDescent="0.25">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row>
  </sheetData>
  <mergeCells count="46">
    <mergeCell ref="C42:D42"/>
    <mergeCell ref="E42:F42"/>
    <mergeCell ref="C45:D45"/>
    <mergeCell ref="E45:F45"/>
    <mergeCell ref="E46:F46"/>
    <mergeCell ref="C43:D43"/>
    <mergeCell ref="C44:D44"/>
    <mergeCell ref="E43:F43"/>
    <mergeCell ref="E44:F44"/>
    <mergeCell ref="C46:D46"/>
    <mergeCell ref="C39:D39"/>
    <mergeCell ref="E39:F39"/>
    <mergeCell ref="C40:D40"/>
    <mergeCell ref="E40:F40"/>
    <mergeCell ref="C41:D41"/>
    <mergeCell ref="E41:F41"/>
    <mergeCell ref="C36:D36"/>
    <mergeCell ref="E36:F36"/>
    <mergeCell ref="C37:D37"/>
    <mergeCell ref="E37:F37"/>
    <mergeCell ref="C38:D38"/>
    <mergeCell ref="E38:F38"/>
    <mergeCell ref="C31:D31"/>
    <mergeCell ref="E31:F31"/>
    <mergeCell ref="C32:D32"/>
    <mergeCell ref="E32:F32"/>
    <mergeCell ref="C35:D35"/>
    <mergeCell ref="E35:F35"/>
    <mergeCell ref="C33:D33"/>
    <mergeCell ref="E33:F33"/>
    <mergeCell ref="C34:D34"/>
    <mergeCell ref="E34:F34"/>
    <mergeCell ref="B9:BF9"/>
    <mergeCell ref="B29:B30"/>
    <mergeCell ref="C29:D29"/>
    <mergeCell ref="E29:F29"/>
    <mergeCell ref="G29:G30"/>
    <mergeCell ref="C30:D30"/>
    <mergeCell ref="E30:F30"/>
    <mergeCell ref="B5:C5"/>
    <mergeCell ref="B1:BF1"/>
    <mergeCell ref="B3:C3"/>
    <mergeCell ref="B4:C4"/>
    <mergeCell ref="D3:M3"/>
    <mergeCell ref="D4:M4"/>
    <mergeCell ref="D5:M5"/>
  </mergeCells>
  <pageMargins left="0.7" right="0.7" top="0.75" bottom="0.75" header="0.3" footer="0.3"/>
  <pageSetup paperSize="8" scale="10" fitToHeight="0" orientation="landscape"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R78"/>
  <sheetViews>
    <sheetView zoomScaleNormal="100" workbookViewId="0">
      <selection activeCell="V86" sqref="V86"/>
    </sheetView>
  </sheetViews>
  <sheetFormatPr baseColWidth="10" defaultRowHeight="16.5" customHeight="1" x14ac:dyDescent="0.25"/>
  <cols>
    <col min="1" max="1" width="3.140625" style="90" customWidth="1"/>
    <col min="2" max="2" width="22.7109375" customWidth="1"/>
    <col min="3" max="3" width="16.140625" customWidth="1"/>
    <col min="4" max="5" width="15" customWidth="1"/>
    <col min="6" max="6" width="19.28515625" customWidth="1"/>
    <col min="7" max="7" width="15.5703125" customWidth="1"/>
    <col min="8" max="8" width="20.42578125" customWidth="1"/>
    <col min="9" max="11" width="15.5703125" customWidth="1"/>
    <col min="12" max="17" width="19.42578125" customWidth="1"/>
    <col min="18" max="18" width="15.5703125" customWidth="1"/>
    <col min="19" max="19" width="3.140625" customWidth="1"/>
    <col min="20" max="20" width="22.5703125" customWidth="1"/>
    <col min="21" max="22" width="15" customWidth="1"/>
    <col min="23" max="23" width="21" customWidth="1"/>
    <col min="24" max="24" width="15" style="41" customWidth="1"/>
    <col min="25" max="25" width="30.42578125" customWidth="1"/>
    <col min="26" max="27" width="15" customWidth="1"/>
    <col min="28" max="28" width="22.7109375" customWidth="1"/>
    <col min="29" max="29" width="5.5703125" customWidth="1"/>
  </cols>
  <sheetData>
    <row r="1" spans="1:70" ht="22.5" customHeight="1" x14ac:dyDescent="0.25">
      <c r="B1" s="202" t="s">
        <v>145</v>
      </c>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90"/>
    </row>
    <row r="2" spans="1:70" s="56" customFormat="1" ht="19.5" customHeight="1" x14ac:dyDescent="0.25">
      <c r="A2" s="104"/>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row>
    <row r="3" spans="1:70" s="61" customFormat="1" ht="15.75" customHeight="1" x14ac:dyDescent="0.25">
      <c r="B3" s="239" t="s">
        <v>135</v>
      </c>
      <c r="C3" s="240"/>
      <c r="D3" s="212"/>
      <c r="E3" s="212"/>
      <c r="F3" s="212"/>
      <c r="G3" s="212"/>
      <c r="H3" s="212"/>
      <c r="I3" s="212"/>
      <c r="J3" s="212"/>
      <c r="K3" s="212"/>
      <c r="L3" s="212"/>
      <c r="M3" s="212"/>
      <c r="N3" s="212"/>
      <c r="O3" s="212"/>
      <c r="P3" s="212"/>
      <c r="Q3" s="212"/>
      <c r="R3" s="212"/>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row>
    <row r="4" spans="1:70" s="61" customFormat="1" ht="51.75" customHeight="1" x14ac:dyDescent="0.25">
      <c r="B4" s="239" t="s">
        <v>150</v>
      </c>
      <c r="C4" s="240"/>
      <c r="D4" s="212"/>
      <c r="E4" s="212"/>
      <c r="F4" s="212"/>
      <c r="G4" s="212"/>
      <c r="H4" s="212"/>
      <c r="I4" s="212"/>
      <c r="J4" s="212"/>
      <c r="K4" s="212"/>
      <c r="L4" s="212"/>
      <c r="M4" s="212"/>
      <c r="N4" s="212"/>
      <c r="O4" s="212"/>
      <c r="P4" s="212"/>
      <c r="Q4" s="212"/>
      <c r="R4" s="212"/>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c r="BN4" s="56"/>
      <c r="BO4" s="56"/>
      <c r="BP4" s="56"/>
      <c r="BQ4" s="56"/>
      <c r="BR4" s="56"/>
    </row>
    <row r="5" spans="1:70" s="61" customFormat="1" ht="59.25" customHeight="1" x14ac:dyDescent="0.25">
      <c r="B5" s="239" t="s">
        <v>151</v>
      </c>
      <c r="C5" s="240"/>
      <c r="D5" s="212"/>
      <c r="E5" s="212"/>
      <c r="F5" s="212"/>
      <c r="G5" s="212"/>
      <c r="H5" s="212"/>
      <c r="I5" s="212"/>
      <c r="J5" s="212"/>
      <c r="K5" s="212"/>
      <c r="L5" s="212"/>
      <c r="M5" s="212"/>
      <c r="N5" s="212"/>
      <c r="O5" s="212"/>
      <c r="P5" s="212"/>
      <c r="Q5" s="212"/>
      <c r="R5" s="212"/>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row>
    <row r="6" spans="1:70" s="61" customFormat="1" ht="35.25" customHeight="1" x14ac:dyDescent="0.25">
      <c r="B6" s="239" t="s">
        <v>152</v>
      </c>
      <c r="C6" s="240"/>
      <c r="D6" s="212"/>
      <c r="E6" s="212"/>
      <c r="F6" s="212"/>
      <c r="G6" s="212"/>
      <c r="H6" s="212"/>
      <c r="I6" s="212"/>
      <c r="J6" s="212"/>
      <c r="K6" s="212"/>
      <c r="L6" s="212"/>
      <c r="M6" s="212"/>
      <c r="N6" s="212"/>
      <c r="O6" s="212"/>
      <c r="P6" s="212"/>
      <c r="Q6" s="212"/>
      <c r="R6" s="212"/>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row>
    <row r="7" spans="1:70" s="61" customFormat="1" ht="12.75" x14ac:dyDescent="0.25">
      <c r="A7" s="56"/>
      <c r="B7" s="56"/>
      <c r="C7" s="56"/>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row>
    <row r="8" spans="1:70" ht="16.5" customHeight="1" x14ac:dyDescent="0.25">
      <c r="B8" s="238" t="s">
        <v>196</v>
      </c>
      <c r="C8" s="238"/>
      <c r="D8" s="238"/>
      <c r="E8" s="238"/>
      <c r="F8" s="238"/>
      <c r="G8" s="238"/>
      <c r="H8" s="238"/>
      <c r="I8" s="238"/>
      <c r="J8" s="238"/>
      <c r="K8" s="238"/>
      <c r="L8" s="238"/>
      <c r="M8" s="238"/>
      <c r="N8" s="238"/>
      <c r="O8" s="238"/>
      <c r="P8" s="238"/>
      <c r="Q8" s="238"/>
      <c r="R8" s="238"/>
      <c r="S8" s="238"/>
      <c r="T8" s="238"/>
      <c r="U8" s="238"/>
      <c r="V8" s="238"/>
      <c r="W8" s="238"/>
      <c r="X8" s="238"/>
      <c r="Y8" s="238"/>
      <c r="Z8" s="238"/>
      <c r="AA8" s="238"/>
      <c r="AB8" s="238"/>
      <c r="AC8" s="90"/>
    </row>
    <row r="9" spans="1:70" s="90" customFormat="1" ht="15" customHeight="1" x14ac:dyDescent="0.25">
      <c r="B9" s="92"/>
      <c r="T9" s="92"/>
      <c r="X9" s="91"/>
      <c r="Y9" s="92"/>
    </row>
    <row r="10" spans="1:70" s="90" customFormat="1" ht="15" customHeight="1" x14ac:dyDescent="0.25">
      <c r="B10" s="129" t="s">
        <v>221</v>
      </c>
      <c r="C10" s="129"/>
      <c r="D10" s="129"/>
      <c r="E10" s="129"/>
      <c r="F10" s="129"/>
      <c r="G10" s="129"/>
      <c r="H10" s="129"/>
      <c r="T10" s="92"/>
      <c r="X10" s="91"/>
      <c r="Y10" s="92"/>
    </row>
    <row r="11" spans="1:70" s="90" customFormat="1" ht="15" customHeight="1" x14ac:dyDescent="0.25">
      <c r="B11" s="92"/>
      <c r="T11" s="92"/>
      <c r="X11" s="91"/>
      <c r="Y11" s="92"/>
    </row>
    <row r="12" spans="1:70" s="90" customFormat="1" ht="15" customHeight="1" x14ac:dyDescent="0.25">
      <c r="B12" s="151" t="s">
        <v>143</v>
      </c>
      <c r="T12" s="92"/>
      <c r="X12" s="91"/>
      <c r="Y12" s="92"/>
    </row>
    <row r="13" spans="1:70" s="90" customFormat="1" ht="9.75" customHeight="1" x14ac:dyDescent="0.25">
      <c r="B13" s="92"/>
      <c r="T13" s="92"/>
      <c r="X13" s="91"/>
      <c r="Y13" s="92"/>
    </row>
    <row r="14" spans="1:70" s="90" customFormat="1" ht="16.5" customHeight="1" x14ac:dyDescent="0.25">
      <c r="B14" s="92" t="s">
        <v>81</v>
      </c>
      <c r="H14" s="92" t="s">
        <v>198</v>
      </c>
      <c r="N14" s="92" t="s">
        <v>197</v>
      </c>
      <c r="T14" s="92" t="s">
        <v>234</v>
      </c>
      <c r="X14" s="91"/>
      <c r="Y14" s="92" t="s">
        <v>233</v>
      </c>
    </row>
    <row r="15" spans="1:70" s="90" customFormat="1" ht="9" customHeight="1" x14ac:dyDescent="0.25">
      <c r="B15" s="92"/>
      <c r="N15" s="92"/>
      <c r="T15" s="92"/>
      <c r="X15" s="91"/>
      <c r="Y15" s="92"/>
    </row>
    <row r="16" spans="1:70" ht="16.5" customHeight="1" x14ac:dyDescent="0.25">
      <c r="B16" s="235" t="s">
        <v>0</v>
      </c>
      <c r="C16" s="236"/>
      <c r="D16" s="236"/>
      <c r="E16" s="237"/>
      <c r="F16" s="90"/>
      <c r="G16" s="90"/>
      <c r="H16" s="235" t="s">
        <v>0</v>
      </c>
      <c r="I16" s="236"/>
      <c r="J16" s="236"/>
      <c r="K16" s="237"/>
      <c r="L16" s="162"/>
      <c r="M16" s="94"/>
      <c r="N16" s="235" t="s">
        <v>0</v>
      </c>
      <c r="O16" s="236"/>
      <c r="P16" s="236"/>
      <c r="Q16" s="237"/>
      <c r="R16" s="90"/>
      <c r="S16" s="90"/>
      <c r="T16" s="235" t="s">
        <v>0</v>
      </c>
      <c r="U16" s="236"/>
      <c r="V16" s="236"/>
      <c r="W16" s="237"/>
      <c r="X16" s="91"/>
      <c r="Y16" s="235" t="s">
        <v>0</v>
      </c>
      <c r="Z16" s="236"/>
      <c r="AA16" s="236"/>
      <c r="AB16" s="237"/>
      <c r="AC16" s="90"/>
    </row>
    <row r="17" spans="2:29" ht="34.5" customHeight="1" x14ac:dyDescent="0.25">
      <c r="B17" s="49" t="s">
        <v>82</v>
      </c>
      <c r="C17" s="49" t="s">
        <v>211</v>
      </c>
      <c r="D17" s="49" t="s">
        <v>122</v>
      </c>
      <c r="E17" s="49" t="s">
        <v>132</v>
      </c>
      <c r="F17" s="93"/>
      <c r="G17" s="93"/>
      <c r="H17" s="49" t="s">
        <v>82</v>
      </c>
      <c r="I17" s="49" t="s">
        <v>199</v>
      </c>
      <c r="J17" s="49" t="s">
        <v>122</v>
      </c>
      <c r="K17" s="49" t="s">
        <v>200</v>
      </c>
      <c r="L17" s="94"/>
      <c r="M17" s="94"/>
      <c r="N17" s="49" t="s">
        <v>82</v>
      </c>
      <c r="O17" s="49" t="s">
        <v>76</v>
      </c>
      <c r="P17" s="49" t="s">
        <v>205</v>
      </c>
      <c r="Q17" s="49" t="s">
        <v>77</v>
      </c>
      <c r="R17" s="93"/>
      <c r="S17" s="93"/>
      <c r="T17" s="49" t="s">
        <v>82</v>
      </c>
      <c r="U17" s="49" t="s">
        <v>76</v>
      </c>
      <c r="V17" s="49" t="s">
        <v>205</v>
      </c>
      <c r="W17" s="49" t="s">
        <v>236</v>
      </c>
      <c r="X17" s="93"/>
      <c r="Y17" s="49" t="s">
        <v>82</v>
      </c>
      <c r="Z17" s="49" t="s">
        <v>74</v>
      </c>
      <c r="AA17" s="49" t="s">
        <v>122</v>
      </c>
      <c r="AB17" s="49" t="s">
        <v>75</v>
      </c>
      <c r="AC17" s="90"/>
    </row>
    <row r="18" spans="2:29" ht="16.5" customHeight="1" x14ac:dyDescent="0.25">
      <c r="B18" s="232" t="s">
        <v>83</v>
      </c>
      <c r="C18" s="89"/>
      <c r="D18" s="44"/>
      <c r="E18" s="45"/>
      <c r="F18" s="94"/>
      <c r="G18" s="94"/>
      <c r="H18" s="232" t="s">
        <v>83</v>
      </c>
      <c r="I18" s="89"/>
      <c r="J18" s="44"/>
      <c r="K18" s="45"/>
      <c r="L18" s="94"/>
      <c r="M18" s="94"/>
      <c r="N18" s="232" t="s">
        <v>83</v>
      </c>
      <c r="O18" s="89"/>
      <c r="P18" s="89"/>
      <c r="Q18" s="89"/>
      <c r="R18" s="94"/>
      <c r="S18" s="94"/>
      <c r="T18" s="232" t="s">
        <v>83</v>
      </c>
      <c r="U18" s="89"/>
      <c r="V18" s="89"/>
      <c r="W18" s="89"/>
      <c r="X18" s="94"/>
      <c r="Y18" s="232" t="s">
        <v>83</v>
      </c>
      <c r="Z18" s="42"/>
      <c r="AA18" s="42"/>
      <c r="AB18" s="42"/>
      <c r="AC18" s="90"/>
    </row>
    <row r="19" spans="2:29" ht="16.5" customHeight="1" x14ac:dyDescent="0.25">
      <c r="B19" s="233"/>
      <c r="C19" s="89"/>
      <c r="D19" s="44"/>
      <c r="E19" s="45"/>
      <c r="F19" s="94"/>
      <c r="G19" s="94"/>
      <c r="H19" s="233"/>
      <c r="I19" s="89"/>
      <c r="J19" s="44"/>
      <c r="K19" s="45"/>
      <c r="L19" s="94"/>
      <c r="M19" s="94"/>
      <c r="N19" s="233"/>
      <c r="O19" s="89"/>
      <c r="P19" s="89"/>
      <c r="Q19" s="89"/>
      <c r="R19" s="94"/>
      <c r="S19" s="94"/>
      <c r="T19" s="233"/>
      <c r="U19" s="89"/>
      <c r="V19" s="89"/>
      <c r="W19" s="89"/>
      <c r="X19" s="94"/>
      <c r="Y19" s="233"/>
      <c r="Z19" s="42"/>
      <c r="AA19" s="42"/>
      <c r="AB19" s="42"/>
      <c r="AC19" s="90"/>
    </row>
    <row r="20" spans="2:29" ht="16.5" customHeight="1" x14ac:dyDescent="0.25">
      <c r="B20" s="234"/>
      <c r="C20" s="89"/>
      <c r="D20" s="44"/>
      <c r="E20" s="45"/>
      <c r="F20" s="94"/>
      <c r="G20" s="94"/>
      <c r="H20" s="234"/>
      <c r="I20" s="89"/>
      <c r="J20" s="44"/>
      <c r="K20" s="45"/>
      <c r="L20" s="94"/>
      <c r="M20" s="94"/>
      <c r="N20" s="234"/>
      <c r="O20" s="89"/>
      <c r="P20" s="89"/>
      <c r="Q20" s="89"/>
      <c r="R20" s="94"/>
      <c r="S20" s="94"/>
      <c r="T20" s="234"/>
      <c r="U20" s="89"/>
      <c r="V20" s="89"/>
      <c r="W20" s="89"/>
      <c r="X20" s="94"/>
      <c r="Y20" s="234"/>
      <c r="Z20" s="42"/>
      <c r="AA20" s="42"/>
      <c r="AB20" s="42"/>
      <c r="AC20" s="90"/>
    </row>
    <row r="21" spans="2:29" ht="16.5" customHeight="1" x14ac:dyDescent="0.25">
      <c r="B21" s="44" t="s">
        <v>84</v>
      </c>
      <c r="C21" s="89"/>
      <c r="D21" s="44"/>
      <c r="E21" s="45"/>
      <c r="F21" s="90"/>
      <c r="G21" s="90"/>
      <c r="H21" s="44" t="s">
        <v>84</v>
      </c>
      <c r="I21" s="89"/>
      <c r="J21" s="44"/>
      <c r="K21" s="45"/>
      <c r="L21" s="94"/>
      <c r="M21" s="94"/>
      <c r="N21" s="44" t="s">
        <v>84</v>
      </c>
      <c r="O21" s="89"/>
      <c r="P21" s="89"/>
      <c r="Q21" s="89"/>
      <c r="R21" s="90"/>
      <c r="S21" s="90"/>
      <c r="T21" s="44" t="s">
        <v>84</v>
      </c>
      <c r="U21" s="89"/>
      <c r="V21" s="89"/>
      <c r="W21" s="89"/>
      <c r="X21" s="96"/>
      <c r="Y21" s="44" t="s">
        <v>84</v>
      </c>
      <c r="Z21" s="48"/>
      <c r="AA21" s="48"/>
      <c r="AB21" s="48"/>
      <c r="AC21" s="90"/>
    </row>
    <row r="22" spans="2:29" ht="16.5" customHeight="1" x14ac:dyDescent="0.25">
      <c r="B22" s="44" t="s">
        <v>85</v>
      </c>
      <c r="C22" s="89"/>
      <c r="D22" s="44"/>
      <c r="E22" s="45"/>
      <c r="F22" s="90"/>
      <c r="G22" s="90"/>
      <c r="H22" s="44" t="s">
        <v>85</v>
      </c>
      <c r="I22" s="89"/>
      <c r="J22" s="44"/>
      <c r="K22" s="45"/>
      <c r="L22" s="94"/>
      <c r="M22" s="94"/>
      <c r="N22" s="44" t="s">
        <v>85</v>
      </c>
      <c r="O22" s="89"/>
      <c r="P22" s="89"/>
      <c r="Q22" s="89"/>
      <c r="R22" s="90"/>
      <c r="S22" s="90"/>
      <c r="T22" s="44" t="s">
        <v>85</v>
      </c>
      <c r="U22" s="89"/>
      <c r="V22" s="89"/>
      <c r="W22" s="89"/>
      <c r="X22" s="96"/>
      <c r="Y22" s="44" t="s">
        <v>85</v>
      </c>
      <c r="Z22" s="48"/>
      <c r="AA22" s="48"/>
      <c r="AB22" s="48"/>
      <c r="AC22" s="90"/>
    </row>
    <row r="23" spans="2:29" ht="16.5" customHeight="1" x14ac:dyDescent="0.25">
      <c r="B23" s="44" t="s">
        <v>86</v>
      </c>
      <c r="C23" s="89"/>
      <c r="D23" s="46"/>
      <c r="E23" s="47"/>
      <c r="F23" s="95"/>
      <c r="G23" s="95"/>
      <c r="H23" s="44" t="s">
        <v>86</v>
      </c>
      <c r="I23" s="89"/>
      <c r="J23" s="46"/>
      <c r="K23" s="47"/>
      <c r="L23" s="94"/>
      <c r="M23" s="94"/>
      <c r="N23" s="44" t="s">
        <v>86</v>
      </c>
      <c r="O23" s="89"/>
      <c r="P23" s="89"/>
      <c r="Q23" s="89"/>
      <c r="R23" s="95"/>
      <c r="S23" s="95"/>
      <c r="T23" s="44" t="s">
        <v>86</v>
      </c>
      <c r="U23" s="89"/>
      <c r="V23" s="89"/>
      <c r="W23" s="89"/>
      <c r="X23" s="96"/>
      <c r="Y23" s="44" t="s">
        <v>86</v>
      </c>
      <c r="Z23" s="48"/>
      <c r="AA23" s="48"/>
      <c r="AB23" s="48"/>
      <c r="AC23" s="90"/>
    </row>
    <row r="24" spans="2:29" ht="16.5" customHeight="1" x14ac:dyDescent="0.25">
      <c r="B24" s="44" t="s">
        <v>87</v>
      </c>
      <c r="C24" s="89"/>
      <c r="D24" s="46"/>
      <c r="E24" s="47"/>
      <c r="F24" s="95"/>
      <c r="G24" s="95"/>
      <c r="H24" s="44" t="s">
        <v>87</v>
      </c>
      <c r="I24" s="89"/>
      <c r="J24" s="46"/>
      <c r="K24" s="47"/>
      <c r="L24" s="94"/>
      <c r="M24" s="94"/>
      <c r="N24" s="44" t="s">
        <v>87</v>
      </c>
      <c r="O24" s="89"/>
      <c r="P24" s="89"/>
      <c r="Q24" s="89"/>
      <c r="R24" s="95"/>
      <c r="S24" s="95"/>
      <c r="T24" s="44" t="s">
        <v>87</v>
      </c>
      <c r="U24" s="89"/>
      <c r="V24" s="89"/>
      <c r="W24" s="89"/>
      <c r="X24" s="96"/>
      <c r="Y24" s="44" t="s">
        <v>87</v>
      </c>
      <c r="Z24" s="48"/>
      <c r="AA24" s="48"/>
      <c r="AB24" s="48"/>
      <c r="AC24" s="90"/>
    </row>
    <row r="25" spans="2:29" ht="16.5" customHeight="1" x14ac:dyDescent="0.25">
      <c r="B25" s="44" t="s">
        <v>88</v>
      </c>
      <c r="C25" s="89"/>
      <c r="D25" s="44"/>
      <c r="E25" s="47"/>
      <c r="F25" s="95"/>
      <c r="G25" s="95"/>
      <c r="H25" s="44" t="s">
        <v>88</v>
      </c>
      <c r="I25" s="89"/>
      <c r="J25" s="44"/>
      <c r="K25" s="47"/>
      <c r="L25" s="94"/>
      <c r="M25" s="94"/>
      <c r="N25" s="44" t="s">
        <v>88</v>
      </c>
      <c r="O25" s="89"/>
      <c r="P25" s="89"/>
      <c r="Q25" s="89"/>
      <c r="R25" s="95"/>
      <c r="S25" s="95"/>
      <c r="T25" s="44" t="s">
        <v>88</v>
      </c>
      <c r="U25" s="89"/>
      <c r="V25" s="89"/>
      <c r="W25" s="89"/>
      <c r="X25" s="96"/>
      <c r="Y25" s="44" t="s">
        <v>88</v>
      </c>
      <c r="Z25" s="48"/>
      <c r="AA25" s="48"/>
      <c r="AB25" s="48"/>
      <c r="AC25" s="90"/>
    </row>
    <row r="26" spans="2:29" ht="16.5" customHeight="1" x14ac:dyDescent="0.25">
      <c r="B26" s="44" t="s">
        <v>89</v>
      </c>
      <c r="C26" s="89"/>
      <c r="D26" s="44"/>
      <c r="E26" s="47"/>
      <c r="F26" s="95"/>
      <c r="G26" s="95"/>
      <c r="H26" s="44" t="s">
        <v>89</v>
      </c>
      <c r="I26" s="89"/>
      <c r="J26" s="44"/>
      <c r="K26" s="47"/>
      <c r="L26" s="94"/>
      <c r="M26" s="94"/>
      <c r="N26" s="44" t="s">
        <v>89</v>
      </c>
      <c r="O26" s="89"/>
      <c r="P26" s="89"/>
      <c r="Q26" s="89"/>
      <c r="R26" s="95"/>
      <c r="S26" s="95"/>
      <c r="T26" s="44" t="s">
        <v>89</v>
      </c>
      <c r="U26" s="89"/>
      <c r="V26" s="89"/>
      <c r="W26" s="89"/>
      <c r="X26" s="96"/>
      <c r="Y26" s="44" t="s">
        <v>89</v>
      </c>
      <c r="Z26" s="48"/>
      <c r="AA26" s="48"/>
      <c r="AB26" s="48"/>
      <c r="AC26" s="90"/>
    </row>
    <row r="27" spans="2:29" ht="16.5" customHeight="1" x14ac:dyDescent="0.25">
      <c r="B27" s="44" t="s">
        <v>90</v>
      </c>
      <c r="C27" s="89"/>
      <c r="D27" s="44"/>
      <c r="E27" s="47"/>
      <c r="F27" s="95"/>
      <c r="G27" s="95"/>
      <c r="H27" s="44" t="s">
        <v>90</v>
      </c>
      <c r="I27" s="89"/>
      <c r="J27" s="44"/>
      <c r="K27" s="47"/>
      <c r="L27" s="94"/>
      <c r="M27" s="94"/>
      <c r="N27" s="44" t="s">
        <v>90</v>
      </c>
      <c r="O27" s="89"/>
      <c r="P27" s="89"/>
      <c r="Q27" s="89"/>
      <c r="R27" s="95"/>
      <c r="S27" s="95"/>
      <c r="T27" s="44" t="s">
        <v>90</v>
      </c>
      <c r="U27" s="89"/>
      <c r="V27" s="89"/>
      <c r="W27" s="89"/>
      <c r="X27" s="96"/>
      <c r="Y27" s="44" t="s">
        <v>90</v>
      </c>
      <c r="Z27" s="48"/>
      <c r="AA27" s="48"/>
      <c r="AB27" s="48"/>
      <c r="AC27" s="90"/>
    </row>
    <row r="28" spans="2:29" ht="16.5" customHeight="1" x14ac:dyDescent="0.25">
      <c r="B28" s="44" t="s">
        <v>91</v>
      </c>
      <c r="C28" s="89"/>
      <c r="D28" s="44"/>
      <c r="E28" s="47"/>
      <c r="F28" s="95"/>
      <c r="G28" s="95"/>
      <c r="H28" s="44" t="s">
        <v>91</v>
      </c>
      <c r="I28" s="89"/>
      <c r="J28" s="44"/>
      <c r="K28" s="47"/>
      <c r="L28" s="94"/>
      <c r="M28" s="94"/>
      <c r="N28" s="44" t="s">
        <v>91</v>
      </c>
      <c r="O28" s="89"/>
      <c r="P28" s="89"/>
      <c r="Q28" s="89"/>
      <c r="R28" s="95"/>
      <c r="S28" s="95"/>
      <c r="T28" s="44" t="s">
        <v>91</v>
      </c>
      <c r="U28" s="89"/>
      <c r="V28" s="89"/>
      <c r="W28" s="89"/>
      <c r="X28" s="95"/>
      <c r="Y28" s="44" t="s">
        <v>91</v>
      </c>
      <c r="Z28" s="48"/>
      <c r="AA28" s="48"/>
      <c r="AB28" s="48"/>
      <c r="AC28" s="90"/>
    </row>
    <row r="29" spans="2:29" ht="16.5" customHeight="1" x14ac:dyDescent="0.25">
      <c r="B29" s="44" t="s">
        <v>92</v>
      </c>
      <c r="C29" s="89"/>
      <c r="D29" s="44"/>
      <c r="E29" s="47"/>
      <c r="F29" s="95"/>
      <c r="G29" s="95"/>
      <c r="H29" s="44" t="s">
        <v>92</v>
      </c>
      <c r="I29" s="89"/>
      <c r="J29" s="44"/>
      <c r="K29" s="47"/>
      <c r="L29" s="94"/>
      <c r="M29" s="94"/>
      <c r="N29" s="44" t="s">
        <v>92</v>
      </c>
      <c r="O29" s="89"/>
      <c r="P29" s="89"/>
      <c r="Q29" s="89"/>
      <c r="R29" s="95"/>
      <c r="S29" s="95"/>
      <c r="T29" s="44" t="s">
        <v>92</v>
      </c>
      <c r="U29" s="89"/>
      <c r="V29" s="89"/>
      <c r="W29" s="89"/>
      <c r="X29" s="95"/>
      <c r="Y29" s="44" t="s">
        <v>92</v>
      </c>
      <c r="Z29" s="48"/>
      <c r="AA29" s="48"/>
      <c r="AB29" s="48"/>
      <c r="AC29" s="90"/>
    </row>
    <row r="30" spans="2:29" ht="16.5" customHeight="1" x14ac:dyDescent="0.25">
      <c r="B30" s="44" t="s">
        <v>93</v>
      </c>
      <c r="C30" s="89"/>
      <c r="D30" s="44"/>
      <c r="E30" s="47"/>
      <c r="F30" s="95"/>
      <c r="G30" s="95"/>
      <c r="H30" s="44" t="s">
        <v>93</v>
      </c>
      <c r="I30" s="89"/>
      <c r="J30" s="44"/>
      <c r="K30" s="47"/>
      <c r="L30" s="94"/>
      <c r="M30" s="94"/>
      <c r="N30" s="44" t="s">
        <v>93</v>
      </c>
      <c r="O30" s="89"/>
      <c r="P30" s="89"/>
      <c r="Q30" s="89"/>
      <c r="R30" s="95"/>
      <c r="S30" s="95"/>
      <c r="T30" s="44" t="s">
        <v>93</v>
      </c>
      <c r="U30" s="89"/>
      <c r="V30" s="89"/>
      <c r="W30" s="89"/>
      <c r="X30" s="95"/>
      <c r="Y30" s="44" t="s">
        <v>93</v>
      </c>
      <c r="Z30" s="48"/>
      <c r="AA30" s="48"/>
      <c r="AB30" s="48"/>
      <c r="AC30" s="90"/>
    </row>
    <row r="31" spans="2:29" ht="16.5" customHeight="1" x14ac:dyDescent="0.25">
      <c r="B31" s="43" t="s">
        <v>12</v>
      </c>
      <c r="C31" s="89">
        <f>SUM(C18:C30)</f>
        <v>0</v>
      </c>
      <c r="D31" s="43" t="s">
        <v>12</v>
      </c>
      <c r="E31" s="179">
        <f>SUM(E18:E30)</f>
        <v>0</v>
      </c>
      <c r="F31" s="90"/>
      <c r="G31" s="90"/>
      <c r="H31" s="43" t="s">
        <v>12</v>
      </c>
      <c r="I31" s="89">
        <f>SUM(I18:I30)</f>
        <v>0</v>
      </c>
      <c r="J31" s="43" t="s">
        <v>12</v>
      </c>
      <c r="K31" s="179">
        <f>SUM(K18:K30)</f>
        <v>0</v>
      </c>
      <c r="L31" s="94"/>
      <c r="M31" s="94"/>
      <c r="N31" s="43" t="s">
        <v>12</v>
      </c>
      <c r="O31" s="89">
        <f>SUM(O18:O30)</f>
        <v>0</v>
      </c>
      <c r="P31" s="43" t="s">
        <v>12</v>
      </c>
      <c r="Q31" s="89">
        <f>SUM(Q18:Q30)</f>
        <v>0</v>
      </c>
      <c r="R31" s="90"/>
      <c r="S31" s="90"/>
      <c r="T31" s="43" t="s">
        <v>12</v>
      </c>
      <c r="U31" s="89">
        <f>SUM(U18:U30)</f>
        <v>0</v>
      </c>
      <c r="V31" s="43" t="s">
        <v>12</v>
      </c>
      <c r="W31" s="89">
        <f>SUM(W18:W30)</f>
        <v>0</v>
      </c>
      <c r="X31" s="95"/>
      <c r="Y31" s="43" t="s">
        <v>12</v>
      </c>
      <c r="Z31" s="89">
        <f>SUM(Z18:Z30)</f>
        <v>0</v>
      </c>
      <c r="AA31" s="43" t="s">
        <v>12</v>
      </c>
      <c r="AB31" s="89">
        <f>SUM(AB18:AB30)</f>
        <v>0</v>
      </c>
      <c r="AC31" s="90"/>
    </row>
    <row r="32" spans="2:29" s="90" customFormat="1" ht="16.5" customHeight="1" x14ac:dyDescent="0.25">
      <c r="B32" s="99" t="s">
        <v>212</v>
      </c>
      <c r="M32" s="94"/>
    </row>
    <row r="33" spans="2:29" s="90" customFormat="1" ht="16.5" customHeight="1" x14ac:dyDescent="0.25">
      <c r="M33" s="94"/>
    </row>
    <row r="34" spans="2:29" ht="45" customHeight="1" x14ac:dyDescent="0.25">
      <c r="B34" s="83" t="s">
        <v>120</v>
      </c>
      <c r="C34" s="83" t="s">
        <v>126</v>
      </c>
      <c r="D34" s="83" t="s">
        <v>133</v>
      </c>
      <c r="E34" s="83" t="s">
        <v>121</v>
      </c>
      <c r="F34" s="83" t="s">
        <v>210</v>
      </c>
      <c r="G34" s="95"/>
      <c r="H34" s="83" t="s">
        <v>120</v>
      </c>
      <c r="I34" s="83" t="s">
        <v>126</v>
      </c>
      <c r="J34" s="83" t="s">
        <v>133</v>
      </c>
      <c r="K34" s="83" t="s">
        <v>121</v>
      </c>
      <c r="L34" s="83" t="s">
        <v>213</v>
      </c>
      <c r="M34" s="94"/>
      <c r="N34" s="83" t="s">
        <v>120</v>
      </c>
      <c r="O34" s="83" t="s">
        <v>129</v>
      </c>
      <c r="P34" s="83" t="s">
        <v>121</v>
      </c>
      <c r="Q34" s="83" t="s">
        <v>214</v>
      </c>
      <c r="R34" s="95"/>
      <c r="S34" s="90"/>
      <c r="T34" s="83" t="s">
        <v>120</v>
      </c>
      <c r="U34" s="83" t="s">
        <v>129</v>
      </c>
      <c r="V34" s="83" t="s">
        <v>121</v>
      </c>
      <c r="W34" s="83" t="s">
        <v>235</v>
      </c>
      <c r="X34" s="90"/>
      <c r="Y34" s="83" t="s">
        <v>120</v>
      </c>
      <c r="Z34" s="83" t="s">
        <v>129</v>
      </c>
      <c r="AA34" s="83" t="s">
        <v>121</v>
      </c>
      <c r="AB34" s="83" t="s">
        <v>219</v>
      </c>
      <c r="AC34" s="90"/>
    </row>
    <row r="35" spans="2:29" ht="20.100000000000001" customHeight="1" x14ac:dyDescent="0.25">
      <c r="B35" s="226" t="s">
        <v>130</v>
      </c>
      <c r="C35" s="173"/>
      <c r="D35" s="103" t="s">
        <v>83</v>
      </c>
      <c r="E35" s="42"/>
      <c r="F35" s="172"/>
      <c r="G35" s="95"/>
      <c r="H35" s="226" t="s">
        <v>201</v>
      </c>
      <c r="I35" s="173"/>
      <c r="J35" s="103" t="s">
        <v>83</v>
      </c>
      <c r="K35" s="42"/>
      <c r="L35" s="172"/>
      <c r="M35" s="94"/>
      <c r="N35" s="229" t="s">
        <v>130</v>
      </c>
      <c r="O35" s="103" t="s">
        <v>83</v>
      </c>
      <c r="P35" s="48"/>
      <c r="Q35" s="172"/>
      <c r="R35" s="95"/>
      <c r="S35" s="90"/>
      <c r="T35" s="229" t="s">
        <v>201</v>
      </c>
      <c r="U35" s="103" t="s">
        <v>83</v>
      </c>
      <c r="V35" s="48"/>
      <c r="W35" s="172"/>
      <c r="X35" s="90"/>
      <c r="Y35" s="226" t="s">
        <v>215</v>
      </c>
      <c r="Z35" s="103" t="s">
        <v>83</v>
      </c>
      <c r="AA35" s="174"/>
      <c r="AB35" s="172"/>
      <c r="AC35" s="90"/>
    </row>
    <row r="36" spans="2:29" ht="20.100000000000001" customHeight="1" x14ac:dyDescent="0.25">
      <c r="B36" s="227"/>
      <c r="C36" s="173"/>
      <c r="D36" s="103" t="s">
        <v>84</v>
      </c>
      <c r="E36" s="42"/>
      <c r="F36" s="172"/>
      <c r="G36" s="95"/>
      <c r="H36" s="227"/>
      <c r="I36" s="173"/>
      <c r="J36" s="103" t="s">
        <v>84</v>
      </c>
      <c r="K36" s="42"/>
      <c r="L36" s="172"/>
      <c r="M36" s="94"/>
      <c r="N36" s="230"/>
      <c r="O36" s="103" t="s">
        <v>84</v>
      </c>
      <c r="P36" s="48"/>
      <c r="Q36" s="172"/>
      <c r="R36" s="95"/>
      <c r="S36" s="90"/>
      <c r="T36" s="230"/>
      <c r="U36" s="103" t="s">
        <v>84</v>
      </c>
      <c r="V36" s="48"/>
      <c r="W36" s="172"/>
      <c r="X36" s="90"/>
      <c r="Y36" s="227"/>
      <c r="Z36" s="103" t="s">
        <v>84</v>
      </c>
      <c r="AA36" s="174"/>
      <c r="AB36" s="172"/>
      <c r="AC36" s="90"/>
    </row>
    <row r="37" spans="2:29" ht="20.100000000000001" customHeight="1" x14ac:dyDescent="0.25">
      <c r="B37" s="228"/>
      <c r="C37" s="173"/>
      <c r="D37" s="103" t="s">
        <v>140</v>
      </c>
      <c r="E37" s="42"/>
      <c r="F37" s="172"/>
      <c r="G37" s="95"/>
      <c r="H37" s="228"/>
      <c r="I37" s="173"/>
      <c r="J37" s="103" t="s">
        <v>140</v>
      </c>
      <c r="K37" s="42"/>
      <c r="L37" s="172"/>
      <c r="M37" s="94"/>
      <c r="N37" s="231"/>
      <c r="O37" s="103" t="s">
        <v>140</v>
      </c>
      <c r="P37" s="48"/>
      <c r="Q37" s="172"/>
      <c r="R37" s="95"/>
      <c r="S37" s="90"/>
      <c r="T37" s="231"/>
      <c r="U37" s="103" t="s">
        <v>140</v>
      </c>
      <c r="V37" s="48"/>
      <c r="W37" s="172"/>
      <c r="X37" s="90"/>
      <c r="Y37" s="228"/>
      <c r="Z37" s="103" t="s">
        <v>140</v>
      </c>
      <c r="AA37" s="174"/>
      <c r="AB37" s="172"/>
      <c r="AC37" s="90"/>
    </row>
    <row r="38" spans="2:29" ht="20.100000000000001" customHeight="1" x14ac:dyDescent="0.25">
      <c r="B38" s="42" t="s">
        <v>131</v>
      </c>
      <c r="C38" s="88"/>
      <c r="D38" s="103" t="s">
        <v>140</v>
      </c>
      <c r="E38" s="42"/>
      <c r="F38" s="172"/>
      <c r="G38" s="95"/>
      <c r="H38" s="42" t="s">
        <v>202</v>
      </c>
      <c r="I38" s="88"/>
      <c r="J38" s="103" t="s">
        <v>140</v>
      </c>
      <c r="K38" s="42"/>
      <c r="L38" s="172"/>
      <c r="M38" s="94"/>
      <c r="N38" s="42" t="s">
        <v>131</v>
      </c>
      <c r="O38" s="103" t="s">
        <v>140</v>
      </c>
      <c r="P38" s="48"/>
      <c r="Q38" s="172"/>
      <c r="R38" s="95"/>
      <c r="S38" s="90"/>
      <c r="T38" s="42" t="s">
        <v>202</v>
      </c>
      <c r="U38" s="103" t="s">
        <v>140</v>
      </c>
      <c r="V38" s="48"/>
      <c r="W38" s="172"/>
      <c r="X38" s="90"/>
      <c r="Y38" s="103" t="s">
        <v>216</v>
      </c>
      <c r="Z38" s="103" t="s">
        <v>140</v>
      </c>
      <c r="AA38" s="174"/>
      <c r="AB38" s="172"/>
      <c r="AC38" s="90"/>
    </row>
    <row r="39" spans="2:29" ht="20.100000000000001" customHeight="1" x14ac:dyDescent="0.25">
      <c r="B39" s="42" t="s">
        <v>141</v>
      </c>
      <c r="C39" s="88"/>
      <c r="D39" s="103" t="s">
        <v>140</v>
      </c>
      <c r="E39" s="42"/>
      <c r="F39" s="172"/>
      <c r="G39" s="95"/>
      <c r="H39" s="42" t="s">
        <v>203</v>
      </c>
      <c r="I39" s="88"/>
      <c r="J39" s="103" t="s">
        <v>140</v>
      </c>
      <c r="K39" s="42"/>
      <c r="L39" s="172"/>
      <c r="M39" s="94"/>
      <c r="N39" s="42" t="s">
        <v>141</v>
      </c>
      <c r="O39" s="103" t="s">
        <v>140</v>
      </c>
      <c r="P39" s="48"/>
      <c r="Q39" s="172"/>
      <c r="R39" s="95"/>
      <c r="S39" s="90"/>
      <c r="T39" s="42" t="s">
        <v>203</v>
      </c>
      <c r="U39" s="103" t="s">
        <v>140</v>
      </c>
      <c r="V39" s="48"/>
      <c r="W39" s="172"/>
      <c r="X39" s="101"/>
      <c r="Y39" s="103" t="s">
        <v>217</v>
      </c>
      <c r="Z39" s="103" t="s">
        <v>140</v>
      </c>
      <c r="AA39" s="174"/>
      <c r="AB39" s="172"/>
      <c r="AC39" s="90"/>
    </row>
    <row r="40" spans="2:29" ht="20.100000000000001" customHeight="1" x14ac:dyDescent="0.25">
      <c r="B40" s="42" t="s">
        <v>142</v>
      </c>
      <c r="C40" s="88"/>
      <c r="D40" s="103" t="s">
        <v>140</v>
      </c>
      <c r="E40" s="42"/>
      <c r="F40" s="172"/>
      <c r="G40" s="95"/>
      <c r="H40" s="42" t="s">
        <v>204</v>
      </c>
      <c r="I40" s="88"/>
      <c r="J40" s="103" t="s">
        <v>140</v>
      </c>
      <c r="K40" s="42"/>
      <c r="L40" s="171"/>
      <c r="M40" s="94"/>
      <c r="N40" s="42" t="s">
        <v>142</v>
      </c>
      <c r="O40" s="103" t="s">
        <v>140</v>
      </c>
      <c r="P40" s="48"/>
      <c r="Q40" s="171"/>
      <c r="R40" s="95"/>
      <c r="S40" s="90"/>
      <c r="T40" s="42" t="s">
        <v>204</v>
      </c>
      <c r="U40" s="103" t="s">
        <v>140</v>
      </c>
      <c r="V40" s="48"/>
      <c r="W40" s="171"/>
      <c r="X40" s="101"/>
      <c r="Y40" s="103" t="s">
        <v>218</v>
      </c>
      <c r="Z40" s="103" t="s">
        <v>140</v>
      </c>
      <c r="AA40" s="174"/>
      <c r="AB40" s="171"/>
      <c r="AC40" s="90"/>
    </row>
    <row r="41" spans="2:29" ht="16.5" customHeight="1" x14ac:dyDescent="0.25">
      <c r="B41" s="42" t="s">
        <v>93</v>
      </c>
      <c r="C41" s="88"/>
      <c r="D41" s="42"/>
      <c r="E41" s="42"/>
      <c r="F41" s="172"/>
      <c r="G41" s="95"/>
      <c r="H41" s="42" t="s">
        <v>93</v>
      </c>
      <c r="I41" s="88"/>
      <c r="J41" s="42"/>
      <c r="K41" s="42"/>
      <c r="L41" s="86"/>
      <c r="M41" s="94"/>
      <c r="N41" s="42" t="s">
        <v>93</v>
      </c>
      <c r="O41" s="103"/>
      <c r="P41" s="48"/>
      <c r="Q41" s="86"/>
      <c r="R41" s="95"/>
      <c r="S41" s="90"/>
      <c r="T41" s="42" t="s">
        <v>93</v>
      </c>
      <c r="U41" s="103"/>
      <c r="V41" s="48"/>
      <c r="W41" s="86"/>
      <c r="X41" s="101"/>
      <c r="Y41" s="42" t="s">
        <v>93</v>
      </c>
      <c r="Z41" s="103"/>
      <c r="AA41" s="48"/>
      <c r="AB41" s="86"/>
      <c r="AC41" s="90"/>
    </row>
    <row r="42" spans="2:29" ht="16.5" customHeight="1" x14ac:dyDescent="0.25">
      <c r="B42" s="97"/>
      <c r="C42" s="98"/>
      <c r="D42" s="97"/>
      <c r="E42" s="43" t="s">
        <v>9</v>
      </c>
      <c r="F42" s="87">
        <f>SUM(F35:F41)</f>
        <v>0</v>
      </c>
      <c r="G42" s="163"/>
      <c r="H42" s="97"/>
      <c r="I42" s="98"/>
      <c r="J42" s="97"/>
      <c r="K42" s="43" t="s">
        <v>9</v>
      </c>
      <c r="L42" s="87">
        <f>SUM(L35:L41)</f>
        <v>0</v>
      </c>
      <c r="M42" s="94"/>
      <c r="N42" s="97"/>
      <c r="O42" s="97"/>
      <c r="P42" s="43" t="s">
        <v>9</v>
      </c>
      <c r="Q42" s="87">
        <f>SUM(Q35:Q41)</f>
        <v>0</v>
      </c>
      <c r="R42" s="163"/>
      <c r="S42" s="90"/>
      <c r="T42" s="97"/>
      <c r="U42" s="97"/>
      <c r="V42" s="43" t="s">
        <v>9</v>
      </c>
      <c r="W42" s="87">
        <f>SUM(W35:W41)</f>
        <v>0</v>
      </c>
      <c r="X42" s="102"/>
      <c r="Y42" s="97"/>
      <c r="Z42" s="97"/>
      <c r="AA42" s="43" t="s">
        <v>9</v>
      </c>
      <c r="AB42" s="87">
        <f>SUM(AB35:AB41)</f>
        <v>0</v>
      </c>
      <c r="AC42" s="90"/>
    </row>
    <row r="43" spans="2:29" s="90" customFormat="1" ht="16.5" customHeight="1" x14ac:dyDescent="0.25">
      <c r="B43" s="99" t="s">
        <v>209</v>
      </c>
      <c r="M43" s="94"/>
      <c r="N43" s="94"/>
      <c r="O43" s="94"/>
      <c r="P43" s="94"/>
      <c r="Q43" s="94"/>
    </row>
    <row r="44" spans="2:29" s="90" customFormat="1" ht="16.5" customHeight="1" x14ac:dyDescent="0.25">
      <c r="B44" s="99"/>
      <c r="M44" s="94"/>
      <c r="N44" s="94"/>
      <c r="O44" s="94"/>
      <c r="P44" s="94"/>
      <c r="Q44" s="94"/>
    </row>
    <row r="45" spans="2:29" s="90" customFormat="1" ht="16.5" customHeight="1" x14ac:dyDescent="0.25">
      <c r="B45" s="151" t="s">
        <v>144</v>
      </c>
      <c r="M45" s="94"/>
      <c r="N45" s="94"/>
      <c r="O45" s="94"/>
      <c r="P45" s="94"/>
      <c r="Q45" s="94"/>
    </row>
    <row r="46" spans="2:29" s="90" customFormat="1" ht="12.75" customHeight="1" x14ac:dyDescent="0.25">
      <c r="M46" s="94"/>
      <c r="N46" s="94"/>
      <c r="O46" s="94"/>
      <c r="P46" s="94"/>
      <c r="Q46" s="94"/>
    </row>
    <row r="47" spans="2:29" s="90" customFormat="1" ht="14.25" customHeight="1" x14ac:dyDescent="0.25">
      <c r="B47" s="92" t="s">
        <v>81</v>
      </c>
      <c r="H47" s="92" t="s">
        <v>198</v>
      </c>
      <c r="M47" s="94"/>
      <c r="N47" s="92" t="s">
        <v>197</v>
      </c>
      <c r="T47" s="92" t="s">
        <v>234</v>
      </c>
      <c r="X47" s="91"/>
      <c r="Y47" s="92" t="s">
        <v>233</v>
      </c>
    </row>
    <row r="48" spans="2:29" s="90" customFormat="1" ht="9" customHeight="1" x14ac:dyDescent="0.25">
      <c r="B48" s="92"/>
      <c r="M48" s="94"/>
      <c r="N48" s="92"/>
      <c r="T48" s="92"/>
      <c r="X48" s="91"/>
      <c r="Y48" s="92"/>
    </row>
    <row r="49" spans="2:29" ht="16.5" customHeight="1" x14ac:dyDescent="0.25">
      <c r="B49" s="235" t="s">
        <v>128</v>
      </c>
      <c r="C49" s="236"/>
      <c r="D49" s="236"/>
      <c r="E49" s="237"/>
      <c r="F49" s="90"/>
      <c r="G49" s="90"/>
      <c r="H49" s="235" t="s">
        <v>0</v>
      </c>
      <c r="I49" s="236"/>
      <c r="J49" s="236"/>
      <c r="K49" s="237"/>
      <c r="L49" s="162"/>
      <c r="M49" s="94"/>
      <c r="N49" s="235" t="s">
        <v>128</v>
      </c>
      <c r="O49" s="236"/>
      <c r="P49" s="236"/>
      <c r="Q49" s="237"/>
      <c r="R49" s="90"/>
      <c r="S49" s="90"/>
      <c r="T49" s="235" t="s">
        <v>128</v>
      </c>
      <c r="U49" s="236"/>
      <c r="V49" s="236"/>
      <c r="W49" s="237"/>
      <c r="X49" s="91"/>
      <c r="Y49" s="235" t="s">
        <v>128</v>
      </c>
      <c r="Z49" s="236"/>
      <c r="AA49" s="236"/>
      <c r="AB49" s="237"/>
      <c r="AC49" s="90"/>
    </row>
    <row r="50" spans="2:29" ht="34.5" customHeight="1" x14ac:dyDescent="0.25">
      <c r="B50" s="49" t="s">
        <v>82</v>
      </c>
      <c r="C50" s="49" t="s">
        <v>73</v>
      </c>
      <c r="D50" s="49" t="s">
        <v>122</v>
      </c>
      <c r="E50" s="49" t="s">
        <v>132</v>
      </c>
      <c r="F50" s="93"/>
      <c r="G50" s="93"/>
      <c r="H50" s="49" t="s">
        <v>82</v>
      </c>
      <c r="I50" s="49" t="s">
        <v>199</v>
      </c>
      <c r="J50" s="49" t="s">
        <v>122</v>
      </c>
      <c r="K50" s="49" t="s">
        <v>200</v>
      </c>
      <c r="L50" s="94"/>
      <c r="M50" s="94"/>
      <c r="N50" s="49" t="s">
        <v>82</v>
      </c>
      <c r="O50" s="49" t="s">
        <v>76</v>
      </c>
      <c r="P50" s="49" t="s">
        <v>122</v>
      </c>
      <c r="Q50" s="49" t="s">
        <v>77</v>
      </c>
      <c r="R50" s="93"/>
      <c r="S50" s="93"/>
      <c r="T50" s="49" t="s">
        <v>82</v>
      </c>
      <c r="U50" s="49" t="s">
        <v>76</v>
      </c>
      <c r="V50" s="49" t="s">
        <v>122</v>
      </c>
      <c r="W50" s="49" t="s">
        <v>238</v>
      </c>
      <c r="X50" s="93"/>
      <c r="Y50" s="49" t="s">
        <v>82</v>
      </c>
      <c r="Z50" s="49" t="s">
        <v>74</v>
      </c>
      <c r="AA50" s="49" t="s">
        <v>122</v>
      </c>
      <c r="AB50" s="49" t="s">
        <v>75</v>
      </c>
      <c r="AC50" s="90"/>
    </row>
    <row r="51" spans="2:29" ht="16.5" customHeight="1" x14ac:dyDescent="0.25">
      <c r="B51" s="232" t="s">
        <v>83</v>
      </c>
      <c r="C51" s="89"/>
      <c r="D51" s="44"/>
      <c r="E51" s="45"/>
      <c r="F51" s="94"/>
      <c r="G51" s="94"/>
      <c r="H51" s="232" t="s">
        <v>83</v>
      </c>
      <c r="I51" s="89"/>
      <c r="J51" s="44"/>
      <c r="K51" s="45"/>
      <c r="L51" s="94"/>
      <c r="M51" s="94"/>
      <c r="N51" s="232" t="s">
        <v>83</v>
      </c>
      <c r="O51" s="89"/>
      <c r="P51" s="89"/>
      <c r="Q51" s="89"/>
      <c r="R51" s="94"/>
      <c r="S51" s="94"/>
      <c r="T51" s="232" t="s">
        <v>83</v>
      </c>
      <c r="U51" s="89"/>
      <c r="V51" s="89"/>
      <c r="W51" s="89"/>
      <c r="X51" s="94"/>
      <c r="Y51" s="232" t="s">
        <v>83</v>
      </c>
      <c r="Z51" s="42"/>
      <c r="AA51" s="42"/>
      <c r="AB51" s="42"/>
      <c r="AC51" s="90"/>
    </row>
    <row r="52" spans="2:29" ht="16.5" customHeight="1" x14ac:dyDescent="0.25">
      <c r="B52" s="233"/>
      <c r="C52" s="89"/>
      <c r="D52" s="44"/>
      <c r="E52" s="45"/>
      <c r="F52" s="94"/>
      <c r="G52" s="94"/>
      <c r="H52" s="233"/>
      <c r="I52" s="89"/>
      <c r="J52" s="44"/>
      <c r="K52" s="45"/>
      <c r="L52" s="94"/>
      <c r="M52" s="94"/>
      <c r="N52" s="233"/>
      <c r="O52" s="89"/>
      <c r="P52" s="89"/>
      <c r="Q52" s="89"/>
      <c r="R52" s="94"/>
      <c r="S52" s="94"/>
      <c r="T52" s="233"/>
      <c r="U52" s="89"/>
      <c r="V52" s="89"/>
      <c r="W52" s="89"/>
      <c r="X52" s="94"/>
      <c r="Y52" s="233"/>
      <c r="Z52" s="42"/>
      <c r="AA52" s="42"/>
      <c r="AB52" s="42"/>
      <c r="AC52" s="90"/>
    </row>
    <row r="53" spans="2:29" ht="16.5" customHeight="1" x14ac:dyDescent="0.25">
      <c r="B53" s="234"/>
      <c r="C53" s="89"/>
      <c r="D53" s="44"/>
      <c r="E53" s="45"/>
      <c r="F53" s="94"/>
      <c r="G53" s="94"/>
      <c r="H53" s="234"/>
      <c r="I53" s="89"/>
      <c r="J53" s="44"/>
      <c r="K53" s="45"/>
      <c r="L53" s="94"/>
      <c r="M53" s="94"/>
      <c r="N53" s="234"/>
      <c r="O53" s="89"/>
      <c r="P53" s="89"/>
      <c r="Q53" s="89"/>
      <c r="R53" s="94"/>
      <c r="S53" s="94"/>
      <c r="T53" s="234"/>
      <c r="U53" s="89"/>
      <c r="V53" s="89"/>
      <c r="W53" s="89"/>
      <c r="X53" s="94"/>
      <c r="Y53" s="234"/>
      <c r="Z53" s="42"/>
      <c r="AA53" s="42"/>
      <c r="AB53" s="42"/>
      <c r="AC53" s="90"/>
    </row>
    <row r="54" spans="2:29" ht="16.5" customHeight="1" x14ac:dyDescent="0.25">
      <c r="B54" s="44" t="s">
        <v>84</v>
      </c>
      <c r="C54" s="89"/>
      <c r="D54" s="44"/>
      <c r="E54" s="45"/>
      <c r="F54" s="90"/>
      <c r="G54" s="90"/>
      <c r="H54" s="44" t="s">
        <v>84</v>
      </c>
      <c r="I54" s="89"/>
      <c r="J54" s="44"/>
      <c r="K54" s="45"/>
      <c r="L54" s="94"/>
      <c r="M54" s="94"/>
      <c r="N54" s="44" t="s">
        <v>84</v>
      </c>
      <c r="O54" s="89"/>
      <c r="P54" s="89"/>
      <c r="Q54" s="89"/>
      <c r="R54" s="90"/>
      <c r="S54" s="90"/>
      <c r="T54" s="44" t="s">
        <v>84</v>
      </c>
      <c r="U54" s="89"/>
      <c r="V54" s="89"/>
      <c r="W54" s="89"/>
      <c r="X54" s="96"/>
      <c r="Y54" s="44" t="s">
        <v>84</v>
      </c>
      <c r="Z54" s="48"/>
      <c r="AA54" s="48"/>
      <c r="AB54" s="48"/>
      <c r="AC54" s="90"/>
    </row>
    <row r="55" spans="2:29" ht="16.5" customHeight="1" x14ac:dyDescent="0.25">
      <c r="B55" s="44" t="s">
        <v>85</v>
      </c>
      <c r="C55" s="89"/>
      <c r="D55" s="44"/>
      <c r="E55" s="45"/>
      <c r="F55" s="90"/>
      <c r="G55" s="90"/>
      <c r="H55" s="44" t="s">
        <v>85</v>
      </c>
      <c r="I55" s="89"/>
      <c r="J55" s="44"/>
      <c r="K55" s="45"/>
      <c r="L55" s="94"/>
      <c r="M55" s="94"/>
      <c r="N55" s="44" t="s">
        <v>85</v>
      </c>
      <c r="O55" s="89"/>
      <c r="P55" s="89"/>
      <c r="Q55" s="89"/>
      <c r="R55" s="90"/>
      <c r="S55" s="90"/>
      <c r="T55" s="44" t="s">
        <v>85</v>
      </c>
      <c r="U55" s="89"/>
      <c r="V55" s="89"/>
      <c r="W55" s="89"/>
      <c r="X55" s="96"/>
      <c r="Y55" s="44" t="s">
        <v>85</v>
      </c>
      <c r="Z55" s="48"/>
      <c r="AA55" s="48"/>
      <c r="AB55" s="48"/>
      <c r="AC55" s="90"/>
    </row>
    <row r="56" spans="2:29" ht="16.5" customHeight="1" x14ac:dyDescent="0.25">
      <c r="B56" s="44" t="s">
        <v>86</v>
      </c>
      <c r="C56" s="89"/>
      <c r="D56" s="46"/>
      <c r="E56" s="47"/>
      <c r="F56" s="95"/>
      <c r="G56" s="95"/>
      <c r="H56" s="44" t="s">
        <v>86</v>
      </c>
      <c r="I56" s="89"/>
      <c r="J56" s="46"/>
      <c r="K56" s="47"/>
      <c r="L56" s="94"/>
      <c r="M56" s="94"/>
      <c r="N56" s="44" t="s">
        <v>86</v>
      </c>
      <c r="O56" s="89"/>
      <c r="P56" s="89"/>
      <c r="Q56" s="89"/>
      <c r="R56" s="95"/>
      <c r="S56" s="95"/>
      <c r="T56" s="44" t="s">
        <v>86</v>
      </c>
      <c r="U56" s="89"/>
      <c r="V56" s="89"/>
      <c r="W56" s="89"/>
      <c r="X56" s="96"/>
      <c r="Y56" s="44" t="s">
        <v>86</v>
      </c>
      <c r="Z56" s="48"/>
      <c r="AA56" s="48"/>
      <c r="AB56" s="48"/>
      <c r="AC56" s="90"/>
    </row>
    <row r="57" spans="2:29" ht="16.5" customHeight="1" x14ac:dyDescent="0.25">
      <c r="B57" s="44" t="s">
        <v>87</v>
      </c>
      <c r="C57" s="89"/>
      <c r="D57" s="46"/>
      <c r="E57" s="47"/>
      <c r="F57" s="95"/>
      <c r="G57" s="95"/>
      <c r="H57" s="44" t="s">
        <v>87</v>
      </c>
      <c r="I57" s="89"/>
      <c r="J57" s="46"/>
      <c r="K57" s="47"/>
      <c r="L57" s="94"/>
      <c r="M57" s="94"/>
      <c r="N57" s="44" t="s">
        <v>87</v>
      </c>
      <c r="O57" s="89"/>
      <c r="P57" s="89"/>
      <c r="Q57" s="89"/>
      <c r="R57" s="95"/>
      <c r="S57" s="95"/>
      <c r="T57" s="44" t="s">
        <v>87</v>
      </c>
      <c r="U57" s="89"/>
      <c r="V57" s="89"/>
      <c r="W57" s="89"/>
      <c r="X57" s="96"/>
      <c r="Y57" s="44" t="s">
        <v>87</v>
      </c>
      <c r="Z57" s="48"/>
      <c r="AA57" s="48"/>
      <c r="AB57" s="48"/>
      <c r="AC57" s="90"/>
    </row>
    <row r="58" spans="2:29" ht="16.5" customHeight="1" x14ac:dyDescent="0.25">
      <c r="B58" s="44" t="s">
        <v>88</v>
      </c>
      <c r="C58" s="89"/>
      <c r="D58" s="44"/>
      <c r="E58" s="47"/>
      <c r="F58" s="95"/>
      <c r="G58" s="95"/>
      <c r="H58" s="44" t="s">
        <v>88</v>
      </c>
      <c r="I58" s="89"/>
      <c r="J58" s="44"/>
      <c r="K58" s="47"/>
      <c r="L58" s="94"/>
      <c r="M58" s="94"/>
      <c r="N58" s="44" t="s">
        <v>88</v>
      </c>
      <c r="O58" s="89"/>
      <c r="P58" s="89"/>
      <c r="Q58" s="89"/>
      <c r="R58" s="95"/>
      <c r="S58" s="95"/>
      <c r="T58" s="44" t="s">
        <v>88</v>
      </c>
      <c r="U58" s="89"/>
      <c r="V58" s="89"/>
      <c r="W58" s="89"/>
      <c r="X58" s="96"/>
      <c r="Y58" s="44" t="s">
        <v>88</v>
      </c>
      <c r="Z58" s="48"/>
      <c r="AA58" s="48"/>
      <c r="AB58" s="48"/>
      <c r="AC58" s="90"/>
    </row>
    <row r="59" spans="2:29" ht="16.5" customHeight="1" x14ac:dyDescent="0.25">
      <c r="B59" s="44" t="s">
        <v>89</v>
      </c>
      <c r="C59" s="89"/>
      <c r="D59" s="44"/>
      <c r="E59" s="47"/>
      <c r="F59" s="95"/>
      <c r="G59" s="95"/>
      <c r="H59" s="44" t="s">
        <v>89</v>
      </c>
      <c r="I59" s="89"/>
      <c r="J59" s="44"/>
      <c r="K59" s="47"/>
      <c r="L59" s="94"/>
      <c r="M59" s="94"/>
      <c r="N59" s="44" t="s">
        <v>89</v>
      </c>
      <c r="O59" s="89"/>
      <c r="P59" s="89"/>
      <c r="Q59" s="89"/>
      <c r="R59" s="95"/>
      <c r="S59" s="95"/>
      <c r="T59" s="44" t="s">
        <v>89</v>
      </c>
      <c r="U59" s="89"/>
      <c r="V59" s="89"/>
      <c r="W59" s="89"/>
      <c r="X59" s="96"/>
      <c r="Y59" s="44" t="s">
        <v>89</v>
      </c>
      <c r="Z59" s="48"/>
      <c r="AA59" s="48"/>
      <c r="AB59" s="48"/>
      <c r="AC59" s="90"/>
    </row>
    <row r="60" spans="2:29" ht="16.5" customHeight="1" x14ac:dyDescent="0.25">
      <c r="B60" s="44" t="s">
        <v>90</v>
      </c>
      <c r="C60" s="89"/>
      <c r="D60" s="44"/>
      <c r="E60" s="47"/>
      <c r="F60" s="95"/>
      <c r="G60" s="95"/>
      <c r="H60" s="44" t="s">
        <v>90</v>
      </c>
      <c r="I60" s="89"/>
      <c r="J60" s="44"/>
      <c r="K60" s="47"/>
      <c r="L60" s="94"/>
      <c r="M60" s="94"/>
      <c r="N60" s="44" t="s">
        <v>90</v>
      </c>
      <c r="O60" s="89"/>
      <c r="P60" s="89"/>
      <c r="Q60" s="89"/>
      <c r="R60" s="95"/>
      <c r="S60" s="95"/>
      <c r="T60" s="44" t="s">
        <v>90</v>
      </c>
      <c r="U60" s="89"/>
      <c r="V60" s="89"/>
      <c r="W60" s="89"/>
      <c r="X60" s="96"/>
      <c r="Y60" s="44" t="s">
        <v>90</v>
      </c>
      <c r="Z60" s="48"/>
      <c r="AA60" s="48"/>
      <c r="AB60" s="48"/>
      <c r="AC60" s="90"/>
    </row>
    <row r="61" spans="2:29" ht="16.5" customHeight="1" x14ac:dyDescent="0.25">
      <c r="B61" s="44" t="s">
        <v>91</v>
      </c>
      <c r="C61" s="89"/>
      <c r="D61" s="44"/>
      <c r="E61" s="47"/>
      <c r="F61" s="95"/>
      <c r="G61" s="95"/>
      <c r="H61" s="44" t="s">
        <v>91</v>
      </c>
      <c r="I61" s="89"/>
      <c r="J61" s="44"/>
      <c r="K61" s="47"/>
      <c r="L61" s="94"/>
      <c r="M61" s="94"/>
      <c r="N61" s="44" t="s">
        <v>91</v>
      </c>
      <c r="O61" s="89"/>
      <c r="P61" s="89"/>
      <c r="Q61" s="89"/>
      <c r="R61" s="95"/>
      <c r="S61" s="95"/>
      <c r="T61" s="44" t="s">
        <v>91</v>
      </c>
      <c r="U61" s="89"/>
      <c r="V61" s="89"/>
      <c r="W61" s="89"/>
      <c r="X61" s="95"/>
      <c r="Y61" s="44" t="s">
        <v>91</v>
      </c>
      <c r="Z61" s="48"/>
      <c r="AA61" s="48"/>
      <c r="AB61" s="48"/>
      <c r="AC61" s="90"/>
    </row>
    <row r="62" spans="2:29" ht="16.5" customHeight="1" x14ac:dyDescent="0.25">
      <c r="B62" s="44" t="s">
        <v>92</v>
      </c>
      <c r="C62" s="89"/>
      <c r="D62" s="44"/>
      <c r="E62" s="47"/>
      <c r="F62" s="95"/>
      <c r="G62" s="95"/>
      <c r="H62" s="44" t="s">
        <v>92</v>
      </c>
      <c r="I62" s="89"/>
      <c r="J62" s="44"/>
      <c r="K62" s="47"/>
      <c r="L62" s="94"/>
      <c r="M62" s="94"/>
      <c r="N62" s="44" t="s">
        <v>92</v>
      </c>
      <c r="O62" s="89"/>
      <c r="P62" s="89"/>
      <c r="Q62" s="89"/>
      <c r="R62" s="95"/>
      <c r="S62" s="95"/>
      <c r="T62" s="44" t="s">
        <v>92</v>
      </c>
      <c r="U62" s="89"/>
      <c r="V62" s="89"/>
      <c r="W62" s="89"/>
      <c r="X62" s="95"/>
      <c r="Y62" s="44" t="s">
        <v>92</v>
      </c>
      <c r="Z62" s="48"/>
      <c r="AA62" s="48"/>
      <c r="AB62" s="48"/>
      <c r="AC62" s="90"/>
    </row>
    <row r="63" spans="2:29" ht="16.5" customHeight="1" x14ac:dyDescent="0.25">
      <c r="B63" s="44" t="s">
        <v>93</v>
      </c>
      <c r="C63" s="89"/>
      <c r="D63" s="44"/>
      <c r="E63" s="47"/>
      <c r="F63" s="95"/>
      <c r="G63" s="95"/>
      <c r="H63" s="44" t="s">
        <v>93</v>
      </c>
      <c r="I63" s="89"/>
      <c r="J63" s="44"/>
      <c r="K63" s="47"/>
      <c r="L63" s="94"/>
      <c r="M63" s="94"/>
      <c r="N63" s="44" t="s">
        <v>93</v>
      </c>
      <c r="O63" s="89"/>
      <c r="P63" s="89"/>
      <c r="Q63" s="89"/>
      <c r="R63" s="95"/>
      <c r="S63" s="95"/>
      <c r="T63" s="44" t="s">
        <v>93</v>
      </c>
      <c r="U63" s="89"/>
      <c r="V63" s="89"/>
      <c r="W63" s="89"/>
      <c r="X63" s="95"/>
      <c r="Y63" s="44" t="s">
        <v>93</v>
      </c>
      <c r="Z63" s="48"/>
      <c r="AA63" s="48"/>
      <c r="AB63" s="48"/>
      <c r="AC63" s="90"/>
    </row>
    <row r="64" spans="2:29" ht="16.5" customHeight="1" x14ac:dyDescent="0.25">
      <c r="B64" s="43" t="s">
        <v>12</v>
      </c>
      <c r="C64" s="87">
        <f>SUM(C51:C63)</f>
        <v>0</v>
      </c>
      <c r="D64" s="43" t="s">
        <v>12</v>
      </c>
      <c r="E64" s="87">
        <f>SUM(E51:E63)</f>
        <v>0</v>
      </c>
      <c r="F64" s="90"/>
      <c r="G64" s="90"/>
      <c r="H64" s="43" t="s">
        <v>12</v>
      </c>
      <c r="I64" s="87">
        <f>SUM(I51:I63)</f>
        <v>0</v>
      </c>
      <c r="J64" s="43" t="s">
        <v>12</v>
      </c>
      <c r="K64" s="87">
        <f>SUM(K51:K63)</f>
        <v>0</v>
      </c>
      <c r="L64" s="94"/>
      <c r="M64" s="94"/>
      <c r="N64" s="43" t="s">
        <v>12</v>
      </c>
      <c r="O64" s="89">
        <f>SUM(O51:O63)</f>
        <v>0</v>
      </c>
      <c r="P64" s="43" t="s">
        <v>12</v>
      </c>
      <c r="Q64" s="89">
        <f>SUM(Q51:Q63)</f>
        <v>0</v>
      </c>
      <c r="R64" s="90"/>
      <c r="S64" s="90"/>
      <c r="T64" s="43" t="s">
        <v>12</v>
      </c>
      <c r="U64" s="89">
        <f>SUM(U51:U63)</f>
        <v>0</v>
      </c>
      <c r="V64" s="43" t="s">
        <v>12</v>
      </c>
      <c r="W64" s="89">
        <f>SUM(W51:W63)</f>
        <v>0</v>
      </c>
      <c r="X64" s="95"/>
      <c r="Y64" s="43" t="s">
        <v>12</v>
      </c>
      <c r="Z64" s="89">
        <f>SUM(Z51:Z63)</f>
        <v>0</v>
      </c>
      <c r="AA64" s="43" t="s">
        <v>12</v>
      </c>
      <c r="AB64" s="89">
        <f>SUM(AB51:AB63)</f>
        <v>0</v>
      </c>
      <c r="AC64" s="90"/>
    </row>
    <row r="65" spans="2:29" s="90" customFormat="1" ht="16.5" customHeight="1" x14ac:dyDescent="0.25"/>
    <row r="66" spans="2:29" ht="36" x14ac:dyDescent="0.25">
      <c r="B66" s="83" t="s">
        <v>120</v>
      </c>
      <c r="C66" s="83" t="s">
        <v>126</v>
      </c>
      <c r="D66" s="83" t="s">
        <v>133</v>
      </c>
      <c r="E66" s="83" t="s">
        <v>121</v>
      </c>
      <c r="F66" s="83" t="s">
        <v>210</v>
      </c>
      <c r="G66" s="95"/>
      <c r="H66" s="83" t="s">
        <v>120</v>
      </c>
      <c r="I66" s="83" t="s">
        <v>126</v>
      </c>
      <c r="J66" s="83" t="s">
        <v>133</v>
      </c>
      <c r="K66" s="83" t="s">
        <v>121</v>
      </c>
      <c r="L66" s="83" t="s">
        <v>213</v>
      </c>
      <c r="M66" s="177"/>
      <c r="N66" s="83" t="s">
        <v>120</v>
      </c>
      <c r="O66" s="83" t="s">
        <v>129</v>
      </c>
      <c r="P66" s="83" t="s">
        <v>121</v>
      </c>
      <c r="Q66" s="83" t="s">
        <v>214</v>
      </c>
      <c r="R66" s="95"/>
      <c r="S66" s="90"/>
      <c r="T66" s="83" t="s">
        <v>120</v>
      </c>
      <c r="U66" s="83" t="s">
        <v>129</v>
      </c>
      <c r="V66" s="83" t="s">
        <v>121</v>
      </c>
      <c r="W66" s="83" t="s">
        <v>235</v>
      </c>
      <c r="X66" s="90"/>
      <c r="Y66" s="83" t="s">
        <v>120</v>
      </c>
      <c r="Z66" s="83" t="s">
        <v>129</v>
      </c>
      <c r="AA66" s="83" t="s">
        <v>121</v>
      </c>
      <c r="AB66" s="83" t="s">
        <v>219</v>
      </c>
      <c r="AC66" s="90"/>
    </row>
    <row r="67" spans="2:29" ht="20.100000000000001" customHeight="1" x14ac:dyDescent="0.25">
      <c r="B67" s="226" t="s">
        <v>130</v>
      </c>
      <c r="C67" s="173"/>
      <c r="D67" s="103" t="s">
        <v>83</v>
      </c>
      <c r="E67" s="103"/>
      <c r="F67" s="172"/>
      <c r="G67" s="95"/>
      <c r="H67" s="226" t="s">
        <v>201</v>
      </c>
      <c r="I67" s="173"/>
      <c r="J67" s="103" t="s">
        <v>83</v>
      </c>
      <c r="K67" s="103"/>
      <c r="L67" s="172"/>
      <c r="M67" s="177"/>
      <c r="N67" s="226" t="s">
        <v>130</v>
      </c>
      <c r="O67" s="103" t="s">
        <v>83</v>
      </c>
      <c r="P67" s="174"/>
      <c r="Q67" s="172"/>
      <c r="R67" s="95"/>
      <c r="S67" s="90"/>
      <c r="T67" s="226" t="s">
        <v>201</v>
      </c>
      <c r="U67" s="103" t="s">
        <v>83</v>
      </c>
      <c r="V67" s="174"/>
      <c r="W67" s="172"/>
      <c r="X67" s="90"/>
      <c r="Y67" s="226" t="s">
        <v>215</v>
      </c>
      <c r="Z67" s="103" t="s">
        <v>83</v>
      </c>
      <c r="AA67" s="48"/>
      <c r="AB67" s="172"/>
      <c r="AC67" s="90"/>
    </row>
    <row r="68" spans="2:29" ht="20.100000000000001" customHeight="1" x14ac:dyDescent="0.25">
      <c r="B68" s="227"/>
      <c r="C68" s="173"/>
      <c r="D68" s="103" t="s">
        <v>84</v>
      </c>
      <c r="E68" s="103"/>
      <c r="F68" s="172"/>
      <c r="G68" s="95"/>
      <c r="H68" s="227"/>
      <c r="I68" s="173"/>
      <c r="J68" s="103" t="s">
        <v>84</v>
      </c>
      <c r="K68" s="103"/>
      <c r="L68" s="172"/>
      <c r="M68" s="177"/>
      <c r="N68" s="227"/>
      <c r="O68" s="103" t="s">
        <v>84</v>
      </c>
      <c r="P68" s="174"/>
      <c r="Q68" s="172"/>
      <c r="R68" s="95"/>
      <c r="S68" s="90"/>
      <c r="T68" s="227"/>
      <c r="U68" s="103" t="s">
        <v>84</v>
      </c>
      <c r="V68" s="174"/>
      <c r="W68" s="172"/>
      <c r="X68" s="90"/>
      <c r="Y68" s="227"/>
      <c r="Z68" s="103" t="s">
        <v>84</v>
      </c>
      <c r="AA68" s="48"/>
      <c r="AB68" s="172"/>
      <c r="AC68" s="90"/>
    </row>
    <row r="69" spans="2:29" ht="20.100000000000001" customHeight="1" x14ac:dyDescent="0.25">
      <c r="B69" s="228"/>
      <c r="C69" s="173"/>
      <c r="D69" s="103" t="s">
        <v>140</v>
      </c>
      <c r="E69" s="103"/>
      <c r="F69" s="172"/>
      <c r="G69" s="95"/>
      <c r="H69" s="228"/>
      <c r="I69" s="173"/>
      <c r="J69" s="103" t="s">
        <v>140</v>
      </c>
      <c r="K69" s="103"/>
      <c r="L69" s="172"/>
      <c r="M69" s="177"/>
      <c r="N69" s="228"/>
      <c r="O69" s="103" t="s">
        <v>140</v>
      </c>
      <c r="P69" s="174"/>
      <c r="Q69" s="172"/>
      <c r="R69" s="95"/>
      <c r="S69" s="90"/>
      <c r="T69" s="228"/>
      <c r="U69" s="103" t="s">
        <v>140</v>
      </c>
      <c r="V69" s="174"/>
      <c r="W69" s="172"/>
      <c r="X69" s="90"/>
      <c r="Y69" s="228"/>
      <c r="Z69" s="103" t="s">
        <v>140</v>
      </c>
      <c r="AA69" s="48"/>
      <c r="AB69" s="172"/>
      <c r="AC69" s="90"/>
    </row>
    <row r="70" spans="2:29" ht="20.100000000000001" customHeight="1" x14ac:dyDescent="0.25">
      <c r="B70" s="103" t="s">
        <v>131</v>
      </c>
      <c r="C70" s="173"/>
      <c r="D70" s="103" t="s">
        <v>140</v>
      </c>
      <c r="E70" s="103"/>
      <c r="F70" s="172"/>
      <c r="G70" s="95"/>
      <c r="H70" s="103" t="s">
        <v>202</v>
      </c>
      <c r="I70" s="173"/>
      <c r="J70" s="103" t="s">
        <v>140</v>
      </c>
      <c r="K70" s="103"/>
      <c r="L70" s="172"/>
      <c r="M70" s="177"/>
      <c r="N70" s="103" t="s">
        <v>131</v>
      </c>
      <c r="O70" s="103" t="s">
        <v>140</v>
      </c>
      <c r="P70" s="174"/>
      <c r="Q70" s="172"/>
      <c r="R70" s="95"/>
      <c r="S70" s="90"/>
      <c r="T70" s="103" t="s">
        <v>202</v>
      </c>
      <c r="U70" s="103" t="s">
        <v>140</v>
      </c>
      <c r="V70" s="174"/>
      <c r="W70" s="172"/>
      <c r="X70" s="90"/>
      <c r="Y70" s="103" t="s">
        <v>216</v>
      </c>
      <c r="Z70" s="103" t="s">
        <v>140</v>
      </c>
      <c r="AA70" s="48"/>
      <c r="AB70" s="172"/>
      <c r="AC70" s="90"/>
    </row>
    <row r="71" spans="2:29" ht="20.100000000000001" customHeight="1" x14ac:dyDescent="0.25">
      <c r="B71" s="103" t="s">
        <v>141</v>
      </c>
      <c r="C71" s="173"/>
      <c r="D71" s="103" t="s">
        <v>140</v>
      </c>
      <c r="E71" s="103"/>
      <c r="F71" s="172"/>
      <c r="G71" s="95"/>
      <c r="H71" s="103" t="s">
        <v>203</v>
      </c>
      <c r="I71" s="173"/>
      <c r="J71" s="103" t="s">
        <v>140</v>
      </c>
      <c r="K71" s="103"/>
      <c r="L71" s="172"/>
      <c r="M71" s="177"/>
      <c r="N71" s="103" t="s">
        <v>141</v>
      </c>
      <c r="O71" s="103" t="s">
        <v>140</v>
      </c>
      <c r="P71" s="174"/>
      <c r="Q71" s="172"/>
      <c r="R71" s="95"/>
      <c r="S71" s="90"/>
      <c r="T71" s="103" t="s">
        <v>203</v>
      </c>
      <c r="U71" s="103" t="s">
        <v>140</v>
      </c>
      <c r="V71" s="174"/>
      <c r="W71" s="172"/>
      <c r="X71" s="101"/>
      <c r="Y71" s="103" t="s">
        <v>217</v>
      </c>
      <c r="Z71" s="103" t="s">
        <v>140</v>
      </c>
      <c r="AA71" s="48"/>
      <c r="AB71" s="172"/>
      <c r="AC71" s="90"/>
    </row>
    <row r="72" spans="2:29" ht="20.100000000000001" customHeight="1" x14ac:dyDescent="0.25">
      <c r="B72" s="103" t="s">
        <v>142</v>
      </c>
      <c r="C72" s="173"/>
      <c r="D72" s="103" t="s">
        <v>140</v>
      </c>
      <c r="E72" s="103"/>
      <c r="F72" s="172"/>
      <c r="G72" s="95"/>
      <c r="H72" s="103" t="s">
        <v>204</v>
      </c>
      <c r="I72" s="173"/>
      <c r="J72" s="103" t="s">
        <v>140</v>
      </c>
      <c r="K72" s="103"/>
      <c r="L72" s="172"/>
      <c r="M72" s="177"/>
      <c r="N72" s="103" t="s">
        <v>142</v>
      </c>
      <c r="O72" s="103" t="s">
        <v>140</v>
      </c>
      <c r="P72" s="174"/>
      <c r="Q72" s="171"/>
      <c r="R72" s="95"/>
      <c r="S72" s="90"/>
      <c r="T72" s="103" t="s">
        <v>204</v>
      </c>
      <c r="U72" s="103" t="s">
        <v>140</v>
      </c>
      <c r="V72" s="174"/>
      <c r="W72" s="171"/>
      <c r="X72" s="101"/>
      <c r="Y72" s="103" t="s">
        <v>218</v>
      </c>
      <c r="Z72" s="103" t="s">
        <v>140</v>
      </c>
      <c r="AA72" s="48"/>
      <c r="AB72" s="171"/>
      <c r="AC72" s="90"/>
    </row>
    <row r="73" spans="2:29" ht="16.5" customHeight="1" x14ac:dyDescent="0.25">
      <c r="B73" s="42" t="s">
        <v>93</v>
      </c>
      <c r="C73" s="88"/>
      <c r="D73" s="42"/>
      <c r="E73" s="42"/>
      <c r="F73" s="86"/>
      <c r="G73" s="95"/>
      <c r="H73" s="42" t="s">
        <v>93</v>
      </c>
      <c r="I73" s="88"/>
      <c r="J73" s="42"/>
      <c r="K73" s="42"/>
      <c r="L73" s="86"/>
      <c r="M73" s="178"/>
      <c r="N73" s="42" t="s">
        <v>93</v>
      </c>
      <c r="O73" s="103"/>
      <c r="P73" s="48"/>
      <c r="Q73" s="86"/>
      <c r="R73" s="95"/>
      <c r="S73" s="90"/>
      <c r="T73" s="42" t="s">
        <v>93</v>
      </c>
      <c r="U73" s="103"/>
      <c r="V73" s="48"/>
      <c r="W73" s="86"/>
      <c r="X73" s="101"/>
      <c r="Y73" s="42" t="s">
        <v>93</v>
      </c>
      <c r="Z73" s="103"/>
      <c r="AA73" s="48"/>
      <c r="AB73" s="86"/>
      <c r="AC73" s="90"/>
    </row>
    <row r="74" spans="2:29" ht="16.5" customHeight="1" x14ac:dyDescent="0.25">
      <c r="B74" s="97"/>
      <c r="C74" s="98"/>
      <c r="D74" s="97"/>
      <c r="E74" s="43" t="s">
        <v>9</v>
      </c>
      <c r="F74" s="87">
        <f>SUM(F67:F73)</f>
        <v>0</v>
      </c>
      <c r="G74" s="163"/>
      <c r="H74" s="97"/>
      <c r="I74" s="98"/>
      <c r="J74" s="97"/>
      <c r="K74" s="43" t="s">
        <v>9</v>
      </c>
      <c r="L74" s="87">
        <f>SUM(L67:L73)</f>
        <v>0</v>
      </c>
      <c r="M74" s="163"/>
      <c r="N74" s="97"/>
      <c r="O74" s="97"/>
      <c r="P74" s="43" t="s">
        <v>9</v>
      </c>
      <c r="Q74" s="89">
        <f>SUM(Q61:Q73)</f>
        <v>0</v>
      </c>
      <c r="R74" s="163"/>
      <c r="S74" s="90"/>
      <c r="T74" s="97"/>
      <c r="U74" s="97"/>
      <c r="V74" s="43" t="s">
        <v>9</v>
      </c>
      <c r="W74" s="89">
        <f>SUM(W61:W73)</f>
        <v>0</v>
      </c>
      <c r="X74" s="102"/>
      <c r="Y74" s="97"/>
      <c r="Z74" s="97"/>
      <c r="AA74" s="43" t="s">
        <v>9</v>
      </c>
      <c r="AB74" s="89">
        <f>SUM(AB61:AB73)</f>
        <v>0</v>
      </c>
      <c r="AC74" s="90"/>
    </row>
    <row r="75" spans="2:29" s="90" customFormat="1" ht="16.5" customHeight="1" x14ac:dyDescent="0.25">
      <c r="B75" s="99" t="s">
        <v>209</v>
      </c>
    </row>
    <row r="76" spans="2:29" s="90" customFormat="1" ht="16.5" customHeight="1" x14ac:dyDescent="0.25"/>
    <row r="77" spans="2:29" s="90" customFormat="1" ht="16.5" customHeight="1" x14ac:dyDescent="0.25"/>
    <row r="78" spans="2:29" s="90" customFormat="1" ht="16.5" customHeight="1" x14ac:dyDescent="0.25">
      <c r="X78" s="100"/>
    </row>
  </sheetData>
  <mergeCells count="40">
    <mergeCell ref="B1:AB1"/>
    <mergeCell ref="B16:E16"/>
    <mergeCell ref="N16:Q16"/>
    <mergeCell ref="Y16:AB16"/>
    <mergeCell ref="B3:C3"/>
    <mergeCell ref="B4:C4"/>
    <mergeCell ref="B5:C5"/>
    <mergeCell ref="B6:C6"/>
    <mergeCell ref="H16:K16"/>
    <mergeCell ref="D3:R3"/>
    <mergeCell ref="B35:B37"/>
    <mergeCell ref="H35:H37"/>
    <mergeCell ref="B67:B69"/>
    <mergeCell ref="H67:H69"/>
    <mergeCell ref="B8:AB8"/>
    <mergeCell ref="Y18:Y20"/>
    <mergeCell ref="B49:E49"/>
    <mergeCell ref="T49:W49"/>
    <mergeCell ref="Y49:AB49"/>
    <mergeCell ref="B18:B20"/>
    <mergeCell ref="N18:N20"/>
    <mergeCell ref="H18:H20"/>
    <mergeCell ref="B51:B53"/>
    <mergeCell ref="T51:T53"/>
    <mergeCell ref="Y51:Y53"/>
    <mergeCell ref="H49:K49"/>
    <mergeCell ref="Y35:Y37"/>
    <mergeCell ref="Y67:Y69"/>
    <mergeCell ref="N35:N37"/>
    <mergeCell ref="T67:T69"/>
    <mergeCell ref="D4:R4"/>
    <mergeCell ref="D5:R5"/>
    <mergeCell ref="D6:R6"/>
    <mergeCell ref="H51:H53"/>
    <mergeCell ref="T16:W16"/>
    <mergeCell ref="T18:T20"/>
    <mergeCell ref="T35:T37"/>
    <mergeCell ref="N49:Q49"/>
    <mergeCell ref="N51:N53"/>
    <mergeCell ref="N67:N69"/>
  </mergeCells>
  <pageMargins left="0.7" right="0.7" top="0.75" bottom="0.75" header="0.3" footer="0.3"/>
  <pageSetup paperSize="9" scale="10" fitToHeight="0" orientation="landscape"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I60"/>
  <sheetViews>
    <sheetView zoomScaleNormal="100" workbookViewId="0">
      <selection activeCell="B46" sqref="B46"/>
    </sheetView>
  </sheetViews>
  <sheetFormatPr baseColWidth="10" defaultRowHeight="16.5" customHeight="1" x14ac:dyDescent="0.25"/>
  <cols>
    <col min="1" max="1" width="3.140625" style="106" customWidth="1"/>
    <col min="2" max="2" width="17.140625" style="107" customWidth="1"/>
    <col min="3" max="3" width="34" style="107" customWidth="1"/>
    <col min="4" max="4" width="24.140625" style="107" customWidth="1"/>
    <col min="5" max="5" width="18.7109375" style="107" customWidth="1"/>
    <col min="6" max="6" width="19.7109375" style="107" customWidth="1"/>
    <col min="7" max="8" width="16.85546875" style="107" customWidth="1"/>
    <col min="9" max="9" width="31.42578125" style="107" customWidth="1"/>
    <col min="10" max="11" width="21.140625" style="107" customWidth="1"/>
    <col min="12" max="12" width="26" style="107" customWidth="1"/>
    <col min="13" max="13" width="17" style="115" customWidth="1"/>
    <col min="14" max="14" width="17.7109375" style="107" customWidth="1"/>
    <col min="15" max="15" width="22.5703125" style="107" customWidth="1"/>
    <col min="16" max="16" width="15" style="107" customWidth="1"/>
    <col min="17" max="18" width="21.140625" style="107" customWidth="1"/>
    <col min="19" max="16384" width="11.42578125" style="107"/>
  </cols>
  <sheetData>
    <row r="1" spans="1:61" ht="21.75" customHeight="1" x14ac:dyDescent="0.25">
      <c r="B1" s="202" t="s">
        <v>146</v>
      </c>
      <c r="C1" s="202"/>
      <c r="D1" s="202"/>
      <c r="E1" s="202"/>
      <c r="F1" s="202"/>
      <c r="G1" s="202"/>
      <c r="H1" s="202"/>
      <c r="I1" s="202"/>
      <c r="J1" s="202"/>
      <c r="K1" s="202"/>
      <c r="L1" s="202"/>
      <c r="M1" s="202"/>
      <c r="N1" s="202"/>
      <c r="O1" s="202"/>
      <c r="P1" s="202"/>
      <c r="Q1" s="202"/>
      <c r="R1" s="202"/>
    </row>
    <row r="2" spans="1:61" s="106" customFormat="1" ht="16.5" customHeight="1" x14ac:dyDescent="0.25">
      <c r="M2" s="108"/>
    </row>
    <row r="3" spans="1:61" s="109" customFormat="1" ht="15.75" customHeight="1" x14ac:dyDescent="0.25">
      <c r="B3" s="239" t="s">
        <v>135</v>
      </c>
      <c r="C3" s="243"/>
      <c r="D3" s="240"/>
      <c r="E3" s="212"/>
      <c r="F3" s="212"/>
      <c r="G3" s="212"/>
      <c r="H3" s="212"/>
      <c r="I3" s="212"/>
      <c r="J3" s="212"/>
      <c r="K3" s="212"/>
      <c r="L3" s="212"/>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row>
    <row r="4" spans="1:61" s="109" customFormat="1" ht="15.75" customHeight="1" x14ac:dyDescent="0.25">
      <c r="B4" s="239" t="s">
        <v>150</v>
      </c>
      <c r="C4" s="243"/>
      <c r="D4" s="240"/>
      <c r="E4" s="212"/>
      <c r="F4" s="212"/>
      <c r="G4" s="212"/>
      <c r="H4" s="212"/>
      <c r="I4" s="212"/>
      <c r="J4" s="212"/>
      <c r="K4" s="212"/>
      <c r="L4" s="212"/>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row>
    <row r="5" spans="1:61" s="109" customFormat="1" ht="15.75" customHeight="1" x14ac:dyDescent="0.25">
      <c r="B5" s="239" t="s">
        <v>151</v>
      </c>
      <c r="C5" s="243"/>
      <c r="D5" s="240"/>
      <c r="E5" s="212"/>
      <c r="F5" s="212"/>
      <c r="G5" s="212"/>
      <c r="H5" s="212"/>
      <c r="I5" s="212"/>
      <c r="J5" s="212"/>
      <c r="K5" s="212"/>
      <c r="L5" s="212"/>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row>
    <row r="6" spans="1:61" s="109" customFormat="1" ht="15.75" customHeight="1" x14ac:dyDescent="0.25">
      <c r="B6" s="239" t="s">
        <v>152</v>
      </c>
      <c r="C6" s="243"/>
      <c r="D6" s="240"/>
      <c r="E6" s="212"/>
      <c r="F6" s="212"/>
      <c r="G6" s="212"/>
      <c r="H6" s="212"/>
      <c r="I6" s="212"/>
      <c r="J6" s="212"/>
      <c r="K6" s="212"/>
      <c r="L6" s="212"/>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row>
    <row r="7" spans="1:61" s="109" customFormat="1" ht="12.75" x14ac:dyDescent="0.25">
      <c r="A7" s="110"/>
      <c r="B7" s="110"/>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row>
    <row r="8" spans="1:61" ht="16.5" customHeight="1" x14ac:dyDescent="0.25">
      <c r="B8" s="238" t="s">
        <v>206</v>
      </c>
      <c r="C8" s="238"/>
      <c r="D8" s="238"/>
      <c r="E8" s="238"/>
      <c r="F8" s="238"/>
      <c r="G8" s="238"/>
      <c r="H8" s="238"/>
      <c r="I8" s="238"/>
      <c r="J8" s="238"/>
      <c r="K8" s="238"/>
      <c r="L8" s="238"/>
      <c r="M8" s="238"/>
      <c r="N8" s="238"/>
      <c r="O8" s="238"/>
      <c r="P8" s="238"/>
      <c r="Q8" s="238"/>
      <c r="R8" s="238"/>
    </row>
    <row r="9" spans="1:61" s="106" customFormat="1" ht="15" customHeight="1" x14ac:dyDescent="0.25">
      <c r="B9" s="105"/>
      <c r="C9" s="105"/>
      <c r="D9" s="105"/>
      <c r="E9" s="105"/>
      <c r="F9" s="105"/>
      <c r="G9" s="105"/>
      <c r="H9" s="105"/>
      <c r="I9" s="105"/>
      <c r="J9" s="105"/>
      <c r="K9" s="105"/>
      <c r="L9" s="105"/>
      <c r="M9" s="105"/>
      <c r="N9" s="105"/>
      <c r="O9" s="105"/>
      <c r="P9" s="105"/>
      <c r="Q9" s="105"/>
      <c r="R9" s="105"/>
    </row>
    <row r="10" spans="1:61" s="106" customFormat="1" ht="15" customHeight="1" x14ac:dyDescent="0.25">
      <c r="B10" s="119" t="s">
        <v>154</v>
      </c>
      <c r="C10" s="105"/>
      <c r="D10" s="105"/>
      <c r="E10" s="105"/>
      <c r="F10" s="105"/>
      <c r="G10" s="105"/>
      <c r="H10" s="105"/>
      <c r="I10" s="105"/>
      <c r="J10" s="105"/>
      <c r="K10" s="105"/>
      <c r="L10" s="105"/>
      <c r="M10" s="105"/>
      <c r="N10" s="105"/>
      <c r="O10" s="105"/>
      <c r="P10" s="105"/>
      <c r="Q10" s="105"/>
      <c r="R10" s="105"/>
    </row>
    <row r="11" spans="1:61" s="106" customFormat="1" ht="15" customHeight="1" x14ac:dyDescent="0.25">
      <c r="B11" s="105"/>
      <c r="C11" s="105"/>
      <c r="D11" s="105"/>
      <c r="E11" s="105"/>
      <c r="F11" s="105"/>
      <c r="G11" s="105"/>
      <c r="H11" s="105"/>
      <c r="I11" s="105"/>
      <c r="J11" s="105"/>
      <c r="K11" s="105"/>
      <c r="L11" s="105"/>
      <c r="M11" s="105"/>
      <c r="N11" s="105"/>
      <c r="O11" s="105"/>
      <c r="P11" s="105"/>
      <c r="Q11" s="105"/>
      <c r="R11" s="105"/>
    </row>
    <row r="12" spans="1:61" ht="16.5" customHeight="1" x14ac:dyDescent="0.25">
      <c r="B12" s="244" t="s">
        <v>0</v>
      </c>
      <c r="C12" s="245"/>
      <c r="D12" s="245"/>
      <c r="E12" s="245"/>
      <c r="F12" s="246"/>
      <c r="G12" s="106"/>
      <c r="H12" s="249" t="s">
        <v>128</v>
      </c>
      <c r="I12" s="249"/>
      <c r="J12" s="249"/>
      <c r="K12" s="249"/>
      <c r="L12" s="249"/>
      <c r="M12" s="105"/>
      <c r="N12" s="106"/>
      <c r="O12" s="106"/>
      <c r="P12" s="106"/>
      <c r="Q12" s="106"/>
      <c r="R12" s="106"/>
      <c r="S12" s="106"/>
    </row>
    <row r="13" spans="1:61" ht="33.75" customHeight="1" x14ac:dyDescent="0.25">
      <c r="B13" s="83" t="s">
        <v>102</v>
      </c>
      <c r="C13" s="83" t="s">
        <v>127</v>
      </c>
      <c r="D13" s="83" t="s">
        <v>147</v>
      </c>
      <c r="E13" s="83" t="s">
        <v>148</v>
      </c>
      <c r="F13" s="83" t="s">
        <v>149</v>
      </c>
      <c r="G13" s="106"/>
      <c r="H13" s="83" t="s">
        <v>102</v>
      </c>
      <c r="I13" s="83" t="s">
        <v>127</v>
      </c>
      <c r="J13" s="83" t="s">
        <v>147</v>
      </c>
      <c r="K13" s="83" t="s">
        <v>148</v>
      </c>
      <c r="L13" s="83" t="s">
        <v>149</v>
      </c>
      <c r="M13" s="105"/>
      <c r="N13" s="106"/>
      <c r="O13" s="106"/>
      <c r="P13" s="106"/>
      <c r="Q13" s="106"/>
      <c r="R13" s="106"/>
      <c r="S13" s="106"/>
    </row>
    <row r="14" spans="1:61" ht="18" customHeight="1" x14ac:dyDescent="0.25">
      <c r="B14" s="161" t="s">
        <v>83</v>
      </c>
      <c r="C14" s="118"/>
      <c r="D14" s="118"/>
      <c r="E14" s="118"/>
      <c r="F14" s="118"/>
      <c r="G14" s="106"/>
      <c r="H14" s="161" t="s">
        <v>83</v>
      </c>
      <c r="I14" s="118"/>
      <c r="J14" s="118"/>
      <c r="K14" s="118"/>
      <c r="L14" s="118"/>
      <c r="M14" s="105"/>
      <c r="N14" s="106"/>
      <c r="O14" s="106"/>
      <c r="P14" s="106"/>
      <c r="Q14" s="106"/>
      <c r="R14" s="106"/>
      <c r="S14" s="106"/>
    </row>
    <row r="15" spans="1:61" ht="18" customHeight="1" x14ac:dyDescent="0.25">
      <c r="B15" s="44" t="s">
        <v>84</v>
      </c>
      <c r="C15" s="84"/>
      <c r="D15" s="84"/>
      <c r="E15" s="84"/>
      <c r="F15" s="84"/>
      <c r="G15" s="106"/>
      <c r="H15" s="44" t="s">
        <v>84</v>
      </c>
      <c r="I15" s="84"/>
      <c r="J15" s="84"/>
      <c r="K15" s="84"/>
      <c r="L15" s="84"/>
      <c r="M15" s="105"/>
      <c r="N15" s="106"/>
      <c r="O15" s="106"/>
      <c r="P15" s="106"/>
      <c r="Q15" s="106"/>
      <c r="R15" s="106"/>
      <c r="S15" s="106"/>
    </row>
    <row r="16" spans="1:61" ht="18" customHeight="1" x14ac:dyDescent="0.25">
      <c r="B16" s="44" t="s">
        <v>86</v>
      </c>
      <c r="C16" s="84"/>
      <c r="D16" s="84"/>
      <c r="E16" s="84"/>
      <c r="F16" s="84"/>
      <c r="G16" s="106"/>
      <c r="H16" s="44" t="s">
        <v>86</v>
      </c>
      <c r="I16" s="84"/>
      <c r="J16" s="84"/>
      <c r="K16" s="84"/>
      <c r="L16" s="84"/>
      <c r="M16" s="105"/>
      <c r="N16" s="106"/>
      <c r="O16" s="106"/>
      <c r="P16" s="106"/>
      <c r="Q16" s="106"/>
      <c r="R16" s="106"/>
      <c r="S16" s="106"/>
    </row>
    <row r="17" spans="2:19" ht="18" customHeight="1" x14ac:dyDescent="0.25">
      <c r="B17" s="44" t="s">
        <v>87</v>
      </c>
      <c r="C17" s="84"/>
      <c r="D17" s="84"/>
      <c r="E17" s="84"/>
      <c r="F17" s="84"/>
      <c r="G17" s="106"/>
      <c r="H17" s="44" t="s">
        <v>87</v>
      </c>
      <c r="I17" s="84"/>
      <c r="J17" s="84"/>
      <c r="K17" s="84"/>
      <c r="L17" s="84"/>
      <c r="M17" s="105"/>
      <c r="N17" s="106"/>
      <c r="O17" s="106"/>
      <c r="P17" s="106"/>
      <c r="Q17" s="106"/>
      <c r="R17" s="106"/>
      <c r="S17" s="106"/>
    </row>
    <row r="18" spans="2:19" ht="18" customHeight="1" x14ac:dyDescent="0.25">
      <c r="B18" s="44" t="s">
        <v>88</v>
      </c>
      <c r="C18" s="118"/>
      <c r="D18" s="118"/>
      <c r="E18" s="118"/>
      <c r="F18" s="118"/>
      <c r="G18" s="106"/>
      <c r="H18" s="44" t="s">
        <v>88</v>
      </c>
      <c r="I18" s="118"/>
      <c r="J18" s="118"/>
      <c r="K18" s="118"/>
      <c r="L18" s="118"/>
      <c r="M18" s="105"/>
      <c r="N18" s="106"/>
      <c r="O18" s="106"/>
      <c r="P18" s="106"/>
      <c r="Q18" s="106"/>
      <c r="R18" s="106"/>
      <c r="S18" s="106"/>
    </row>
    <row r="19" spans="2:19" ht="18" customHeight="1" x14ac:dyDescent="0.25">
      <c r="B19" s="44" t="s">
        <v>89</v>
      </c>
      <c r="C19" s="84"/>
      <c r="D19" s="84"/>
      <c r="E19" s="84"/>
      <c r="F19" s="84"/>
      <c r="G19" s="106"/>
      <c r="H19" s="44" t="s">
        <v>89</v>
      </c>
      <c r="I19" s="84"/>
      <c r="J19" s="84"/>
      <c r="K19" s="84"/>
      <c r="L19" s="84"/>
      <c r="M19" s="105"/>
      <c r="N19" s="106"/>
      <c r="O19" s="106"/>
      <c r="P19" s="106"/>
      <c r="Q19" s="106"/>
      <c r="R19" s="106"/>
      <c r="S19" s="106"/>
    </row>
    <row r="20" spans="2:19" ht="18" customHeight="1" x14ac:dyDescent="0.25">
      <c r="B20" s="44" t="s">
        <v>90</v>
      </c>
      <c r="C20" s="84"/>
      <c r="D20" s="84"/>
      <c r="E20" s="84"/>
      <c r="F20" s="84"/>
      <c r="G20" s="106"/>
      <c r="H20" s="44" t="s">
        <v>90</v>
      </c>
      <c r="I20" s="84"/>
      <c r="J20" s="84"/>
      <c r="K20" s="84"/>
      <c r="L20" s="84"/>
      <c r="M20" s="105"/>
      <c r="N20" s="106"/>
      <c r="O20" s="106"/>
      <c r="P20" s="106"/>
      <c r="Q20" s="106"/>
      <c r="R20" s="106"/>
      <c r="S20" s="106"/>
    </row>
    <row r="21" spans="2:19" ht="18" customHeight="1" x14ac:dyDescent="0.25">
      <c r="B21" s="44" t="s">
        <v>91</v>
      </c>
      <c r="C21" s="84"/>
      <c r="D21" s="84"/>
      <c r="E21" s="84"/>
      <c r="F21" s="84"/>
      <c r="G21" s="106"/>
      <c r="H21" s="44" t="s">
        <v>91</v>
      </c>
      <c r="I21" s="84"/>
      <c r="J21" s="84"/>
      <c r="K21" s="84"/>
      <c r="L21" s="84"/>
      <c r="M21" s="105"/>
      <c r="N21" s="106"/>
      <c r="O21" s="106"/>
      <c r="P21" s="106"/>
      <c r="Q21" s="106"/>
      <c r="R21" s="106"/>
      <c r="S21" s="106"/>
    </row>
    <row r="22" spans="2:19" ht="18" customHeight="1" x14ac:dyDescent="0.25">
      <c r="B22" s="44" t="s">
        <v>92</v>
      </c>
      <c r="C22" s="84"/>
      <c r="D22" s="84"/>
      <c r="E22" s="84"/>
      <c r="F22" s="84"/>
      <c r="G22" s="106"/>
      <c r="H22" s="44" t="s">
        <v>92</v>
      </c>
      <c r="I22" s="84"/>
      <c r="J22" s="84"/>
      <c r="K22" s="84"/>
      <c r="L22" s="84"/>
      <c r="M22" s="105"/>
      <c r="N22" s="106"/>
      <c r="O22" s="106"/>
      <c r="P22" s="106"/>
      <c r="Q22" s="106"/>
      <c r="R22" s="106"/>
      <c r="S22" s="106"/>
    </row>
    <row r="23" spans="2:19" ht="18" customHeight="1" x14ac:dyDescent="0.25">
      <c r="B23" s="44" t="s">
        <v>93</v>
      </c>
      <c r="C23" s="44"/>
      <c r="D23" s="44"/>
      <c r="E23" s="44"/>
      <c r="F23" s="44"/>
      <c r="G23" s="106"/>
      <c r="H23" s="44" t="s">
        <v>93</v>
      </c>
      <c r="I23" s="44"/>
      <c r="J23" s="44"/>
      <c r="K23" s="44"/>
      <c r="L23" s="44"/>
      <c r="M23" s="105"/>
      <c r="N23" s="106"/>
      <c r="O23" s="106"/>
      <c r="P23" s="106"/>
      <c r="Q23" s="106"/>
      <c r="R23" s="106"/>
      <c r="S23" s="106"/>
    </row>
    <row r="24" spans="2:19" ht="24" customHeight="1" x14ac:dyDescent="0.25">
      <c r="B24" s="85"/>
      <c r="C24" s="43" t="s">
        <v>153</v>
      </c>
      <c r="D24" s="44">
        <f>COUNT(D14:D23,SÍ)</f>
        <v>0</v>
      </c>
      <c r="E24" s="44">
        <f>COUNT(E14:E23,SÍ)</f>
        <v>0</v>
      </c>
      <c r="F24" s="44">
        <f>COUNT(F14:F23,SÍ)</f>
        <v>0</v>
      </c>
      <c r="G24" s="106"/>
      <c r="H24" s="85"/>
      <c r="I24" s="43" t="s">
        <v>153</v>
      </c>
      <c r="J24" s="44">
        <f>COUNT(J14:J23,SÍ)</f>
        <v>0</v>
      </c>
      <c r="K24" s="44">
        <f>COUNT(K14:K23,SÍ)</f>
        <v>0</v>
      </c>
      <c r="L24" s="44">
        <f t="shared" ref="L24" si="0">COUNT(L14:L23,SÍ)</f>
        <v>0</v>
      </c>
      <c r="M24" s="105"/>
      <c r="N24" s="106"/>
      <c r="O24" s="106"/>
      <c r="P24" s="106"/>
      <c r="Q24" s="106"/>
      <c r="R24" s="106"/>
      <c r="S24" s="106"/>
    </row>
    <row r="25" spans="2:19" ht="12.75" customHeight="1" x14ac:dyDescent="0.25">
      <c r="B25" s="85"/>
      <c r="C25" s="106"/>
      <c r="D25" s="106"/>
      <c r="E25" s="106"/>
      <c r="F25" s="106"/>
      <c r="G25" s="106"/>
      <c r="H25" s="106"/>
      <c r="I25" s="106"/>
      <c r="J25" s="106"/>
      <c r="K25" s="106"/>
      <c r="L25" s="106"/>
      <c r="M25" s="105"/>
      <c r="N25" s="106"/>
      <c r="O25" s="106"/>
      <c r="P25" s="106"/>
      <c r="Q25" s="106"/>
      <c r="R25" s="106"/>
      <c r="S25" s="106"/>
    </row>
    <row r="26" spans="2:19" s="106" customFormat="1" ht="15" customHeight="1" x14ac:dyDescent="0.25">
      <c r="B26" s="152" t="s">
        <v>143</v>
      </c>
      <c r="C26" s="111"/>
      <c r="H26" s="112"/>
      <c r="I26" s="112"/>
      <c r="M26" s="108"/>
      <c r="N26" s="112"/>
      <c r="O26" s="112"/>
    </row>
    <row r="27" spans="2:19" s="106" customFormat="1" ht="12.75" customHeight="1" x14ac:dyDescent="0.25">
      <c r="B27" s="113"/>
      <c r="C27" s="113"/>
      <c r="H27" s="112"/>
      <c r="I27" s="112"/>
      <c r="M27" s="108"/>
      <c r="N27" s="112"/>
      <c r="O27" s="112"/>
    </row>
    <row r="28" spans="2:19" s="106" customFormat="1" ht="16.5" customHeight="1" x14ac:dyDescent="0.25">
      <c r="B28" s="256" t="s">
        <v>98</v>
      </c>
      <c r="C28" s="256"/>
      <c r="H28" s="256" t="s">
        <v>99</v>
      </c>
      <c r="I28" s="256"/>
      <c r="M28" s="108"/>
      <c r="N28" s="257" t="s">
        <v>229</v>
      </c>
      <c r="O28" s="257"/>
    </row>
    <row r="29" spans="2:19" s="106" customFormat="1" ht="14.25" customHeight="1" x14ac:dyDescent="0.25">
      <c r="B29" s="112"/>
      <c r="C29" s="112"/>
      <c r="H29" s="112"/>
      <c r="I29" s="112"/>
      <c r="M29" s="108"/>
      <c r="N29" s="112"/>
      <c r="O29" s="112"/>
    </row>
    <row r="30" spans="2:19" ht="16.5" customHeight="1" x14ac:dyDescent="0.25">
      <c r="B30" s="235" t="s">
        <v>0</v>
      </c>
      <c r="C30" s="242"/>
      <c r="D30" s="236"/>
      <c r="E30" s="236"/>
      <c r="F30" s="237"/>
      <c r="G30" s="106"/>
      <c r="H30" s="235" t="s">
        <v>0</v>
      </c>
      <c r="I30" s="242"/>
      <c r="J30" s="236"/>
      <c r="K30" s="236"/>
      <c r="L30" s="237"/>
      <c r="M30" s="108"/>
      <c r="N30" s="235" t="s">
        <v>0</v>
      </c>
      <c r="O30" s="242"/>
      <c r="P30" s="236"/>
      <c r="Q30" s="236"/>
      <c r="R30" s="237"/>
    </row>
    <row r="31" spans="2:19" ht="46.5" customHeight="1" x14ac:dyDescent="0.25">
      <c r="B31" s="49" t="s">
        <v>102</v>
      </c>
      <c r="C31" s="83" t="s">
        <v>157</v>
      </c>
      <c r="D31" s="49" t="s">
        <v>108</v>
      </c>
      <c r="E31" s="49" t="s">
        <v>109</v>
      </c>
      <c r="F31" s="169" t="s">
        <v>222</v>
      </c>
      <c r="G31" s="106"/>
      <c r="H31" s="49" t="s">
        <v>102</v>
      </c>
      <c r="I31" s="83" t="s">
        <v>155</v>
      </c>
      <c r="J31" s="49" t="s">
        <v>110</v>
      </c>
      <c r="K31" s="49" t="s">
        <v>103</v>
      </c>
      <c r="L31" s="49" t="s">
        <v>105</v>
      </c>
      <c r="M31" s="108"/>
      <c r="N31" s="49" t="s">
        <v>102</v>
      </c>
      <c r="O31" s="49" t="s">
        <v>156</v>
      </c>
      <c r="P31" s="49" t="s">
        <v>100</v>
      </c>
      <c r="Q31" s="49" t="s">
        <v>106</v>
      </c>
      <c r="R31" s="49" t="s">
        <v>107</v>
      </c>
    </row>
    <row r="32" spans="2:19" ht="18" customHeight="1" x14ac:dyDescent="0.25">
      <c r="B32" s="250" t="s">
        <v>83</v>
      </c>
      <c r="C32" s="116"/>
      <c r="D32" s="117"/>
      <c r="E32" s="168"/>
      <c r="F32" s="170"/>
      <c r="G32" s="106"/>
      <c r="H32" s="253" t="s">
        <v>83</v>
      </c>
      <c r="I32" s="44"/>
      <c r="J32" s="55"/>
      <c r="K32" s="122"/>
      <c r="L32" s="122"/>
      <c r="M32" s="108"/>
      <c r="N32" s="253" t="s">
        <v>83</v>
      </c>
      <c r="O32" s="44"/>
      <c r="P32" s="55"/>
      <c r="Q32" s="53"/>
      <c r="R32" s="53"/>
    </row>
    <row r="33" spans="2:18" ht="18" customHeight="1" x14ac:dyDescent="0.25">
      <c r="B33" s="251"/>
      <c r="C33" s="116"/>
      <c r="D33" s="117"/>
      <c r="E33" s="168"/>
      <c r="F33" s="170"/>
      <c r="G33" s="106"/>
      <c r="H33" s="254"/>
      <c r="I33" s="44"/>
      <c r="J33" s="55"/>
      <c r="K33" s="122"/>
      <c r="L33" s="122"/>
      <c r="M33" s="108"/>
      <c r="N33" s="254"/>
      <c r="O33" s="44"/>
      <c r="P33" s="55"/>
      <c r="Q33" s="53"/>
      <c r="R33" s="53"/>
    </row>
    <row r="34" spans="2:18" ht="18" customHeight="1" x14ac:dyDescent="0.25">
      <c r="B34" s="252"/>
      <c r="C34" s="116"/>
      <c r="D34" s="117"/>
      <c r="E34" s="168"/>
      <c r="F34" s="170"/>
      <c r="G34" s="106"/>
      <c r="H34" s="255"/>
      <c r="I34" s="44"/>
      <c r="J34" s="55"/>
      <c r="K34" s="122"/>
      <c r="L34" s="122"/>
      <c r="M34" s="108"/>
      <c r="N34" s="255"/>
      <c r="O34" s="44"/>
      <c r="P34" s="55"/>
      <c r="Q34" s="53"/>
      <c r="R34" s="53"/>
    </row>
    <row r="35" spans="2:18" ht="16.5" customHeight="1" x14ac:dyDescent="0.25">
      <c r="B35" s="44" t="s">
        <v>84</v>
      </c>
      <c r="C35" s="116"/>
      <c r="D35" s="117"/>
      <c r="E35" s="120"/>
      <c r="F35" s="167"/>
      <c r="G35" s="106"/>
      <c r="H35" s="44" t="s">
        <v>84</v>
      </c>
      <c r="I35" s="44"/>
      <c r="J35" s="55"/>
      <c r="K35" s="122"/>
      <c r="L35" s="122"/>
      <c r="M35" s="108"/>
      <c r="N35" s="44" t="s">
        <v>84</v>
      </c>
      <c r="O35" s="44"/>
      <c r="P35" s="55"/>
      <c r="Q35" s="54"/>
      <c r="R35" s="54"/>
    </row>
    <row r="36" spans="2:18" ht="16.5" customHeight="1" x14ac:dyDescent="0.25">
      <c r="B36" s="44" t="s">
        <v>85</v>
      </c>
      <c r="C36" s="44"/>
      <c r="D36" s="55"/>
      <c r="E36" s="121"/>
      <c r="F36" s="121"/>
      <c r="G36" s="106"/>
      <c r="H36" s="44" t="s">
        <v>85</v>
      </c>
      <c r="I36" s="44"/>
      <c r="J36" s="55"/>
      <c r="K36" s="122"/>
      <c r="L36" s="122"/>
      <c r="M36" s="108"/>
      <c r="N36" s="44" t="s">
        <v>85</v>
      </c>
      <c r="O36" s="44"/>
      <c r="P36" s="55"/>
      <c r="Q36" s="54"/>
      <c r="R36" s="54"/>
    </row>
    <row r="37" spans="2:18" ht="16.5" customHeight="1" x14ac:dyDescent="0.25">
      <c r="B37" s="44" t="s">
        <v>86</v>
      </c>
      <c r="C37" s="44"/>
      <c r="D37" s="55"/>
      <c r="E37" s="52"/>
      <c r="F37" s="52"/>
      <c r="G37" s="106"/>
      <c r="H37" s="44" t="s">
        <v>86</v>
      </c>
      <c r="I37" s="44"/>
      <c r="J37" s="55"/>
      <c r="K37" s="122"/>
      <c r="L37" s="122"/>
      <c r="M37" s="108"/>
      <c r="N37" s="44" t="s">
        <v>86</v>
      </c>
      <c r="O37" s="44"/>
      <c r="P37" s="55"/>
      <c r="Q37" s="54"/>
      <c r="R37" s="54"/>
    </row>
    <row r="38" spans="2:18" ht="16.5" customHeight="1" x14ac:dyDescent="0.25">
      <c r="B38" s="44" t="s">
        <v>87</v>
      </c>
      <c r="C38" s="44"/>
      <c r="D38" s="55"/>
      <c r="E38" s="52"/>
      <c r="F38" s="52"/>
      <c r="G38" s="106"/>
      <c r="H38" s="44" t="s">
        <v>87</v>
      </c>
      <c r="I38" s="44"/>
      <c r="J38" s="55"/>
      <c r="K38" s="122"/>
      <c r="L38" s="122"/>
      <c r="M38" s="108"/>
      <c r="N38" s="44" t="s">
        <v>87</v>
      </c>
      <c r="O38" s="44"/>
      <c r="P38" s="55"/>
      <c r="Q38" s="54"/>
      <c r="R38" s="54"/>
    </row>
    <row r="39" spans="2:18" ht="16.5" customHeight="1" x14ac:dyDescent="0.25">
      <c r="B39" s="44" t="s">
        <v>88</v>
      </c>
      <c r="C39" s="44"/>
      <c r="D39" s="55"/>
      <c r="E39" s="52"/>
      <c r="F39" s="52"/>
      <c r="G39" s="106"/>
      <c r="H39" s="44" t="s">
        <v>88</v>
      </c>
      <c r="I39" s="44"/>
      <c r="J39" s="55"/>
      <c r="K39" s="122"/>
      <c r="L39" s="122"/>
      <c r="M39" s="108"/>
      <c r="N39" s="44" t="s">
        <v>88</v>
      </c>
      <c r="O39" s="44"/>
      <c r="P39" s="55"/>
      <c r="Q39" s="54"/>
      <c r="R39" s="54"/>
    </row>
    <row r="40" spans="2:18" ht="16.5" customHeight="1" x14ac:dyDescent="0.25">
      <c r="B40" s="44" t="s">
        <v>89</v>
      </c>
      <c r="C40" s="44"/>
      <c r="D40" s="55"/>
      <c r="E40" s="52"/>
      <c r="F40" s="52"/>
      <c r="G40" s="106"/>
      <c r="H40" s="44" t="s">
        <v>89</v>
      </c>
      <c r="I40" s="44"/>
      <c r="J40" s="55"/>
      <c r="K40" s="122"/>
      <c r="L40" s="122"/>
      <c r="M40" s="108"/>
      <c r="N40" s="44" t="s">
        <v>89</v>
      </c>
      <c r="O40" s="44"/>
      <c r="P40" s="55"/>
      <c r="Q40" s="54"/>
      <c r="R40" s="54"/>
    </row>
    <row r="41" spans="2:18" ht="16.5" customHeight="1" x14ac:dyDescent="0.25">
      <c r="B41" s="44" t="s">
        <v>90</v>
      </c>
      <c r="C41" s="44"/>
      <c r="D41" s="55"/>
      <c r="E41" s="52"/>
      <c r="F41" s="52"/>
      <c r="G41" s="106"/>
      <c r="H41" s="44" t="s">
        <v>90</v>
      </c>
      <c r="I41" s="44"/>
      <c r="J41" s="55"/>
      <c r="K41" s="122"/>
      <c r="L41" s="122"/>
      <c r="M41" s="108"/>
      <c r="N41" s="44" t="s">
        <v>90</v>
      </c>
      <c r="O41" s="44"/>
      <c r="P41" s="55"/>
      <c r="Q41" s="54"/>
      <c r="R41" s="54"/>
    </row>
    <row r="42" spans="2:18" ht="16.5" customHeight="1" x14ac:dyDescent="0.25">
      <c r="B42" s="44" t="s">
        <v>91</v>
      </c>
      <c r="C42" s="44"/>
      <c r="D42" s="55"/>
      <c r="E42" s="52"/>
      <c r="F42" s="52"/>
      <c r="G42" s="106"/>
      <c r="H42" s="44" t="s">
        <v>91</v>
      </c>
      <c r="I42" s="44"/>
      <c r="J42" s="55"/>
      <c r="K42" s="122"/>
      <c r="L42" s="122"/>
      <c r="M42" s="108"/>
      <c r="N42" s="44" t="s">
        <v>91</v>
      </c>
      <c r="O42" s="44"/>
      <c r="P42" s="55"/>
      <c r="Q42" s="54"/>
      <c r="R42" s="54"/>
    </row>
    <row r="43" spans="2:18" ht="16.5" customHeight="1" x14ac:dyDescent="0.25">
      <c r="B43" s="44" t="s">
        <v>92</v>
      </c>
      <c r="C43" s="44"/>
      <c r="D43" s="55"/>
      <c r="E43" s="52"/>
      <c r="F43" s="52"/>
      <c r="G43" s="106"/>
      <c r="H43" s="44" t="s">
        <v>92</v>
      </c>
      <c r="I43" s="44"/>
      <c r="J43" s="55"/>
      <c r="K43" s="122"/>
      <c r="L43" s="122"/>
      <c r="M43" s="108"/>
      <c r="N43" s="44" t="s">
        <v>92</v>
      </c>
      <c r="O43" s="44"/>
      <c r="P43" s="55"/>
      <c r="Q43" s="54"/>
      <c r="R43" s="54"/>
    </row>
    <row r="44" spans="2:18" ht="16.5" customHeight="1" x14ac:dyDescent="0.25">
      <c r="B44" s="44" t="s">
        <v>93</v>
      </c>
      <c r="C44" s="44"/>
      <c r="D44" s="55"/>
      <c r="E44" s="52"/>
      <c r="F44" s="52"/>
      <c r="G44" s="106"/>
      <c r="H44" s="44" t="s">
        <v>93</v>
      </c>
      <c r="I44" s="44"/>
      <c r="J44" s="55"/>
      <c r="K44" s="122"/>
      <c r="L44" s="122"/>
      <c r="M44" s="108"/>
      <c r="N44" s="44" t="s">
        <v>93</v>
      </c>
      <c r="O44" s="44"/>
      <c r="P44" s="55"/>
      <c r="Q44" s="54"/>
      <c r="R44" s="54"/>
    </row>
    <row r="45" spans="2:18" ht="16.5" customHeight="1" x14ac:dyDescent="0.25">
      <c r="B45" s="247" t="s">
        <v>12</v>
      </c>
      <c r="C45" s="248"/>
      <c r="D45" s="55"/>
      <c r="E45" s="52"/>
      <c r="F45" s="52"/>
      <c r="G45" s="106"/>
      <c r="H45" s="247" t="s">
        <v>12</v>
      </c>
      <c r="I45" s="248"/>
      <c r="J45" s="55"/>
      <c r="K45" s="52"/>
      <c r="L45" s="52"/>
      <c r="M45" s="108"/>
      <c r="N45" s="247" t="s">
        <v>12</v>
      </c>
      <c r="O45" s="248"/>
      <c r="P45" s="55"/>
      <c r="Q45" s="52"/>
      <c r="R45" s="52"/>
    </row>
    <row r="46" spans="2:18" s="106" customFormat="1" ht="16.5" customHeight="1" x14ac:dyDescent="0.25">
      <c r="B46" s="185" t="s">
        <v>223</v>
      </c>
      <c r="M46" s="108"/>
    </row>
    <row r="47" spans="2:18" s="106" customFormat="1" ht="18" customHeight="1" x14ac:dyDescent="0.25">
      <c r="B47" s="114"/>
      <c r="C47" s="114"/>
      <c r="D47" s="114"/>
      <c r="E47" s="114"/>
      <c r="F47" s="114"/>
      <c r="G47" s="114"/>
      <c r="H47" s="114"/>
      <c r="I47" s="114"/>
      <c r="M47" s="108"/>
    </row>
    <row r="48" spans="2:18" s="106" customFormat="1" ht="18" customHeight="1" x14ac:dyDescent="0.25">
      <c r="B48" s="152" t="s">
        <v>144</v>
      </c>
      <c r="C48" s="111"/>
      <c r="H48" s="112"/>
      <c r="I48" s="112"/>
      <c r="M48" s="108"/>
      <c r="N48" s="112"/>
      <c r="O48" s="112"/>
    </row>
    <row r="49" spans="2:18" s="106" customFormat="1" ht="18" customHeight="1" x14ac:dyDescent="0.25">
      <c r="B49" s="113"/>
      <c r="C49" s="113"/>
      <c r="H49" s="112"/>
      <c r="I49" s="112"/>
      <c r="M49" s="108"/>
      <c r="N49" s="112"/>
      <c r="O49" s="112"/>
    </row>
    <row r="50" spans="2:18" s="106" customFormat="1" ht="18" customHeight="1" x14ac:dyDescent="0.25">
      <c r="B50" s="112" t="s">
        <v>98</v>
      </c>
      <c r="C50" s="112"/>
      <c r="H50" s="112" t="s">
        <v>99</v>
      </c>
      <c r="I50" s="112"/>
      <c r="M50" s="108"/>
      <c r="N50" s="112" t="s">
        <v>101</v>
      </c>
      <c r="O50" s="112"/>
    </row>
    <row r="51" spans="2:18" s="106" customFormat="1" ht="18" customHeight="1" x14ac:dyDescent="0.25">
      <c r="B51" s="112"/>
      <c r="C51" s="112"/>
      <c r="H51" s="112"/>
      <c r="I51" s="112"/>
      <c r="M51" s="108"/>
      <c r="N51" s="112"/>
      <c r="O51" s="112"/>
    </row>
    <row r="52" spans="2:18" s="106" customFormat="1" ht="18" customHeight="1" x14ac:dyDescent="0.25">
      <c r="B52" s="235" t="s">
        <v>128</v>
      </c>
      <c r="C52" s="242"/>
      <c r="D52" s="236"/>
      <c r="E52" s="236"/>
      <c r="F52" s="237"/>
      <c r="H52" s="235" t="s">
        <v>128</v>
      </c>
      <c r="I52" s="242"/>
      <c r="J52" s="236"/>
      <c r="K52" s="236"/>
      <c r="L52" s="237"/>
      <c r="M52" s="108"/>
      <c r="N52" s="235" t="s">
        <v>0</v>
      </c>
      <c r="O52" s="242"/>
      <c r="P52" s="236"/>
      <c r="Q52" s="236"/>
      <c r="R52" s="237"/>
    </row>
    <row r="53" spans="2:18" s="106" customFormat="1" ht="46.5" x14ac:dyDescent="0.25">
      <c r="B53" s="49" t="s">
        <v>102</v>
      </c>
      <c r="C53" s="83" t="s">
        <v>157</v>
      </c>
      <c r="D53" s="49" t="s">
        <v>108</v>
      </c>
      <c r="E53" s="49" t="s">
        <v>109</v>
      </c>
      <c r="F53" s="49" t="s">
        <v>104</v>
      </c>
      <c r="H53" s="49" t="s">
        <v>102</v>
      </c>
      <c r="I53" s="83" t="s">
        <v>155</v>
      </c>
      <c r="J53" s="49" t="s">
        <v>110</v>
      </c>
      <c r="K53" s="49" t="s">
        <v>103</v>
      </c>
      <c r="L53" s="49" t="s">
        <v>105</v>
      </c>
      <c r="M53" s="108"/>
      <c r="N53" s="49" t="s">
        <v>102</v>
      </c>
      <c r="O53" s="49" t="s">
        <v>156</v>
      </c>
      <c r="P53" s="49" t="s">
        <v>100</v>
      </c>
      <c r="Q53" s="49" t="s">
        <v>106</v>
      </c>
      <c r="R53" s="49" t="s">
        <v>107</v>
      </c>
    </row>
    <row r="54" spans="2:18" s="106" customFormat="1" ht="18" customHeight="1" x14ac:dyDescent="0.25">
      <c r="B54" s="44"/>
      <c r="C54" s="116"/>
      <c r="D54" s="117"/>
      <c r="E54" s="120"/>
      <c r="F54" s="120"/>
      <c r="H54" s="44"/>
      <c r="I54" s="44"/>
      <c r="J54" s="55"/>
      <c r="K54" s="122"/>
      <c r="L54" s="122"/>
      <c r="M54" s="108"/>
      <c r="N54" s="44" t="s">
        <v>83</v>
      </c>
      <c r="O54" s="44"/>
      <c r="P54" s="55"/>
      <c r="Q54" s="53"/>
      <c r="R54" s="53"/>
    </row>
    <row r="55" spans="2:18" s="106" customFormat="1" ht="18" customHeight="1" x14ac:dyDescent="0.25">
      <c r="B55" s="85"/>
      <c r="C55" s="153"/>
      <c r="D55" s="154"/>
      <c r="E55" s="155"/>
      <c r="F55" s="155"/>
      <c r="H55" s="85"/>
      <c r="I55" s="85"/>
      <c r="J55" s="156"/>
      <c r="K55" s="157"/>
      <c r="L55" s="157"/>
      <c r="M55" s="108"/>
      <c r="N55" s="85"/>
      <c r="O55" s="85"/>
      <c r="P55" s="156"/>
      <c r="Q55" s="158"/>
      <c r="R55" s="158"/>
    </row>
    <row r="56" spans="2:18" ht="16.5" customHeight="1" x14ac:dyDescent="0.25">
      <c r="B56" s="238" t="s">
        <v>220</v>
      </c>
      <c r="C56" s="238"/>
      <c r="D56" s="238"/>
      <c r="E56" s="238"/>
      <c r="F56" s="238"/>
      <c r="G56" s="238"/>
      <c r="H56" s="238"/>
      <c r="I56" s="238"/>
      <c r="J56" s="238"/>
      <c r="K56" s="238"/>
      <c r="L56" s="238"/>
      <c r="M56" s="238"/>
      <c r="N56" s="238"/>
      <c r="O56" s="238"/>
      <c r="P56" s="238"/>
      <c r="Q56" s="238"/>
      <c r="R56" s="238"/>
    </row>
    <row r="58" spans="2:18" ht="16.5" customHeight="1" x14ac:dyDescent="0.25">
      <c r="B58" s="238" t="s">
        <v>224</v>
      </c>
      <c r="C58" s="238"/>
      <c r="D58" s="238"/>
      <c r="E58" s="238"/>
      <c r="F58" s="238"/>
      <c r="G58" s="238"/>
      <c r="H58" s="238"/>
      <c r="I58" s="238"/>
      <c r="J58" s="238"/>
      <c r="K58" s="238"/>
      <c r="L58" s="238"/>
      <c r="M58" s="238"/>
      <c r="N58" s="238"/>
      <c r="O58" s="238"/>
      <c r="P58" s="238"/>
      <c r="Q58" s="238"/>
      <c r="R58" s="238"/>
    </row>
    <row r="60" spans="2:18" ht="16.5" customHeight="1" x14ac:dyDescent="0.25">
      <c r="B60" s="241" t="s">
        <v>228</v>
      </c>
      <c r="C60" s="241"/>
      <c r="D60" s="241"/>
      <c r="E60" s="241"/>
      <c r="F60" s="241"/>
      <c r="G60" s="241"/>
      <c r="H60" s="241"/>
      <c r="I60" s="241"/>
      <c r="J60" s="241"/>
      <c r="K60" s="241"/>
      <c r="L60" s="241"/>
    </row>
  </sheetData>
  <mergeCells count="30">
    <mergeCell ref="N45:O45"/>
    <mergeCell ref="H45:I45"/>
    <mergeCell ref="B5:D5"/>
    <mergeCell ref="B45:C45"/>
    <mergeCell ref="H12:L12"/>
    <mergeCell ref="E5:L5"/>
    <mergeCell ref="E6:L6"/>
    <mergeCell ref="B32:B34"/>
    <mergeCell ref="H32:H34"/>
    <mergeCell ref="N32:N34"/>
    <mergeCell ref="H28:I28"/>
    <mergeCell ref="B28:C28"/>
    <mergeCell ref="N28:O28"/>
    <mergeCell ref="B1:R1"/>
    <mergeCell ref="B8:R8"/>
    <mergeCell ref="B30:F30"/>
    <mergeCell ref="H30:L30"/>
    <mergeCell ref="N30:R30"/>
    <mergeCell ref="B3:D3"/>
    <mergeCell ref="B6:D6"/>
    <mergeCell ref="B12:F12"/>
    <mergeCell ref="B4:D4"/>
    <mergeCell ref="E3:L3"/>
    <mergeCell ref="E4:L4"/>
    <mergeCell ref="B56:R56"/>
    <mergeCell ref="B60:L60"/>
    <mergeCell ref="B58:R58"/>
    <mergeCell ref="B52:F52"/>
    <mergeCell ref="H52:L52"/>
    <mergeCell ref="N52:R52"/>
  </mergeCells>
  <pageMargins left="0.7" right="0.7" top="0.75" bottom="0.75" header="0.3" footer="0.3"/>
  <pageSetup paperSize="9" scale="15" fitToHeight="0" orientation="landscape" horizontalDpi="90" verticalDpi="9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H27"/>
  <sheetViews>
    <sheetView zoomScale="60" zoomScaleNormal="60" workbookViewId="0">
      <selection activeCell="P13" sqref="P13"/>
    </sheetView>
  </sheetViews>
  <sheetFormatPr baseColWidth="10" defaultRowHeight="15" x14ac:dyDescent="0.25"/>
  <cols>
    <col min="1" max="1" width="1.42578125" style="128" customWidth="1"/>
    <col min="2" max="2" width="12.28515625" style="128" customWidth="1"/>
    <col min="3" max="5" width="11.42578125" style="128"/>
    <col min="6" max="6" width="52.140625" style="128" customWidth="1"/>
    <col min="7" max="7" width="22" style="128" customWidth="1"/>
    <col min="8" max="9" width="20" style="128" customWidth="1"/>
    <col min="10" max="10" width="11.42578125" style="128"/>
    <col min="11" max="11" width="13.42578125" style="128" customWidth="1"/>
    <col min="12" max="13" width="11.42578125" style="128"/>
    <col min="14" max="14" width="18.5703125" style="128" customWidth="1"/>
    <col min="15" max="15" width="52.28515625" style="128" customWidth="1"/>
    <col min="16" max="16" width="31.140625" style="128" bestFit="1" customWidth="1"/>
    <col min="17" max="17" width="18.28515625" style="128" customWidth="1"/>
    <col min="18" max="18" width="24.85546875" style="128" customWidth="1"/>
    <col min="19" max="16384" width="11.42578125" style="128"/>
  </cols>
  <sheetData>
    <row r="1" spans="1:60" s="123" customFormat="1" ht="24.75" customHeight="1" x14ac:dyDescent="0.25">
      <c r="A1" s="263" t="s">
        <v>158</v>
      </c>
      <c r="B1" s="263"/>
      <c r="C1" s="263"/>
      <c r="D1" s="263"/>
      <c r="E1" s="263"/>
      <c r="F1" s="263"/>
      <c r="G1" s="263"/>
      <c r="H1" s="263"/>
      <c r="I1" s="263"/>
      <c r="J1" s="263"/>
      <c r="K1" s="263"/>
      <c r="L1" s="263"/>
      <c r="M1" s="263"/>
      <c r="N1" s="263"/>
      <c r="O1" s="263"/>
      <c r="P1" s="263"/>
      <c r="Q1" s="263"/>
      <c r="R1" s="263"/>
    </row>
    <row r="2" spans="1:60" s="124" customFormat="1" ht="16.5" customHeight="1" x14ac:dyDescent="0.25"/>
    <row r="3" spans="1:60" s="126" customFormat="1" ht="15.75" customHeight="1" x14ac:dyDescent="0.25">
      <c r="A3" s="125"/>
      <c r="B3" s="260" t="s">
        <v>135</v>
      </c>
      <c r="C3" s="261"/>
      <c r="D3" s="261"/>
      <c r="E3" s="261"/>
      <c r="F3" s="262"/>
      <c r="G3" s="200"/>
      <c r="H3" s="200"/>
      <c r="I3" s="200"/>
      <c r="J3" s="200"/>
      <c r="K3" s="200"/>
      <c r="L3" s="200"/>
      <c r="M3" s="200"/>
      <c r="N3" s="200"/>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row>
    <row r="4" spans="1:60" s="126" customFormat="1" ht="15.75" customHeight="1" x14ac:dyDescent="0.25">
      <c r="A4" s="125"/>
      <c r="B4" s="260" t="s">
        <v>159</v>
      </c>
      <c r="C4" s="261"/>
      <c r="D4" s="261"/>
      <c r="E4" s="261"/>
      <c r="F4" s="262"/>
      <c r="G4" s="200"/>
      <c r="H4" s="200"/>
      <c r="I4" s="200"/>
      <c r="J4" s="200"/>
      <c r="K4" s="200"/>
      <c r="L4" s="200"/>
      <c r="M4" s="200"/>
      <c r="N4" s="200"/>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row>
    <row r="5" spans="1:60" s="126" customFormat="1" ht="15.75" customHeight="1" x14ac:dyDescent="0.25">
      <c r="A5" s="125"/>
      <c r="B5" s="260" t="s">
        <v>160</v>
      </c>
      <c r="C5" s="261"/>
      <c r="D5" s="261"/>
      <c r="E5" s="261"/>
      <c r="F5" s="262"/>
      <c r="G5" s="200"/>
      <c r="H5" s="200"/>
      <c r="I5" s="200"/>
      <c r="J5" s="200"/>
      <c r="K5" s="200"/>
      <c r="L5" s="200"/>
      <c r="M5" s="200"/>
      <c r="N5" s="200"/>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row>
    <row r="6" spans="1:60" s="126" customFormat="1" ht="15.75" customHeight="1" x14ac:dyDescent="0.25">
      <c r="A6" s="125"/>
      <c r="B6" s="260" t="s">
        <v>161</v>
      </c>
      <c r="C6" s="261"/>
      <c r="D6" s="261"/>
      <c r="E6" s="261"/>
      <c r="F6" s="262"/>
      <c r="G6" s="200"/>
      <c r="H6" s="200"/>
      <c r="I6" s="200"/>
      <c r="J6" s="200"/>
      <c r="K6" s="200"/>
      <c r="L6" s="200"/>
      <c r="M6" s="200"/>
      <c r="N6" s="200"/>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row>
    <row r="7" spans="1:60" x14ac:dyDescent="0.25">
      <c r="A7" s="127"/>
      <c r="B7" s="127"/>
      <c r="C7" s="127"/>
      <c r="D7" s="127"/>
      <c r="E7" s="127"/>
      <c r="F7" s="127"/>
      <c r="G7" s="127"/>
      <c r="H7" s="127"/>
      <c r="I7" s="127"/>
      <c r="J7" s="127"/>
      <c r="K7" s="127"/>
      <c r="L7" s="127"/>
      <c r="M7" s="127"/>
      <c r="N7" s="127"/>
      <c r="O7" s="127"/>
      <c r="P7" s="127"/>
      <c r="Q7" s="127"/>
    </row>
    <row r="8" spans="1:60" x14ac:dyDescent="0.25">
      <c r="A8" s="127"/>
      <c r="B8" s="129" t="s">
        <v>175</v>
      </c>
      <c r="C8" s="127"/>
      <c r="D8" s="127"/>
      <c r="E8" s="127"/>
      <c r="F8" s="127"/>
      <c r="G8" s="127"/>
      <c r="H8" s="127"/>
      <c r="I8" s="127"/>
      <c r="J8" s="127"/>
      <c r="K8" s="127"/>
      <c r="L8" s="127"/>
      <c r="M8" s="127"/>
      <c r="N8" s="127"/>
      <c r="O8" s="127"/>
      <c r="P8" s="127"/>
      <c r="Q8" s="127"/>
    </row>
    <row r="9" spans="1:60" x14ac:dyDescent="0.25">
      <c r="A9" s="127"/>
      <c r="B9" s="129"/>
      <c r="C9" s="127"/>
      <c r="D9" s="127"/>
      <c r="E9" s="127"/>
      <c r="F9" s="127"/>
      <c r="G9" s="127"/>
      <c r="H9" s="127"/>
      <c r="I9" s="127"/>
      <c r="J9" s="127"/>
      <c r="K9" s="127"/>
      <c r="L9" s="127"/>
      <c r="M9" s="127"/>
      <c r="N9" s="127"/>
      <c r="O9" s="127"/>
      <c r="P9" s="127"/>
      <c r="Q9" s="127"/>
    </row>
    <row r="10" spans="1:60" ht="15.75" customHeight="1" x14ac:dyDescent="0.25">
      <c r="A10" s="127"/>
      <c r="B10" s="258" t="s">
        <v>225</v>
      </c>
      <c r="C10" s="258"/>
      <c r="D10" s="258"/>
      <c r="E10" s="258"/>
      <c r="F10" s="258"/>
      <c r="G10" s="258"/>
      <c r="H10" s="258"/>
      <c r="I10" s="258"/>
      <c r="J10" s="258"/>
      <c r="K10" s="258"/>
      <c r="L10" s="258"/>
      <c r="M10" s="258"/>
      <c r="N10" s="258"/>
      <c r="O10" s="258"/>
      <c r="P10" s="258"/>
      <c r="Q10" s="258"/>
      <c r="R10" s="258"/>
    </row>
    <row r="11" spans="1:60" x14ac:dyDescent="0.25">
      <c r="A11" s="127"/>
      <c r="B11" s="127"/>
      <c r="C11" s="127"/>
      <c r="D11" s="127"/>
      <c r="E11" s="127"/>
      <c r="F11" s="127"/>
      <c r="G11" s="127"/>
      <c r="H11" s="127"/>
      <c r="I11" s="127"/>
      <c r="J11" s="127"/>
      <c r="K11" s="127"/>
      <c r="L11" s="127"/>
      <c r="M11" s="127"/>
      <c r="N11" s="127"/>
      <c r="O11" s="127"/>
      <c r="P11" s="127"/>
      <c r="Q11" s="127"/>
      <c r="R11" s="127"/>
    </row>
    <row r="12" spans="1:60" ht="15" customHeight="1" x14ac:dyDescent="0.25">
      <c r="A12" s="127"/>
      <c r="B12" s="259" t="s">
        <v>162</v>
      </c>
      <c r="C12" s="259"/>
      <c r="D12" s="259"/>
      <c r="E12" s="259"/>
      <c r="F12" s="259"/>
      <c r="G12" s="259"/>
      <c r="H12" s="259"/>
      <c r="I12" s="259"/>
      <c r="J12" s="127"/>
      <c r="K12" s="259" t="s">
        <v>163</v>
      </c>
      <c r="L12" s="259"/>
      <c r="M12" s="259"/>
      <c r="N12" s="259"/>
      <c r="O12" s="259"/>
      <c r="P12" s="259"/>
      <c r="Q12" s="259"/>
      <c r="R12" s="259"/>
    </row>
    <row r="13" spans="1:60" ht="45" x14ac:dyDescent="0.25">
      <c r="A13" s="127"/>
      <c r="B13" s="130" t="s">
        <v>164</v>
      </c>
      <c r="C13" s="130" t="s">
        <v>165</v>
      </c>
      <c r="D13" s="130" t="s">
        <v>166</v>
      </c>
      <c r="E13" s="130" t="s">
        <v>167</v>
      </c>
      <c r="F13" s="130" t="s">
        <v>192</v>
      </c>
      <c r="G13" s="130" t="s">
        <v>168</v>
      </c>
      <c r="H13" s="130" t="s">
        <v>207</v>
      </c>
      <c r="I13" s="130" t="s">
        <v>208</v>
      </c>
      <c r="J13" s="127"/>
      <c r="K13" s="165" t="s">
        <v>169</v>
      </c>
      <c r="L13" s="165" t="s">
        <v>165</v>
      </c>
      <c r="M13" s="165" t="s">
        <v>166</v>
      </c>
      <c r="N13" s="165" t="s">
        <v>167</v>
      </c>
      <c r="O13" s="165" t="s">
        <v>193</v>
      </c>
      <c r="P13" s="165" t="s">
        <v>168</v>
      </c>
      <c r="Q13" s="165" t="s">
        <v>207</v>
      </c>
      <c r="R13" s="165" t="s">
        <v>208</v>
      </c>
    </row>
    <row r="14" spans="1:60" x14ac:dyDescent="0.25">
      <c r="A14" s="127"/>
      <c r="B14" s="131"/>
      <c r="C14" s="131"/>
      <c r="D14" s="131"/>
      <c r="E14" s="131"/>
      <c r="F14" s="132"/>
      <c r="G14" s="132"/>
      <c r="H14" s="133"/>
      <c r="I14" s="133"/>
      <c r="J14" s="127"/>
      <c r="K14" s="134"/>
      <c r="L14" s="134"/>
      <c r="M14" s="134"/>
      <c r="N14" s="134"/>
      <c r="O14" s="135"/>
      <c r="P14" s="135"/>
      <c r="Q14" s="133"/>
      <c r="R14" s="133"/>
    </row>
    <row r="15" spans="1:60" x14ac:dyDescent="0.25">
      <c r="A15" s="127"/>
      <c r="B15" s="131" t="s">
        <v>170</v>
      </c>
      <c r="C15" s="131"/>
      <c r="D15" s="131"/>
      <c r="E15" s="131"/>
      <c r="F15" s="132"/>
      <c r="G15" s="132"/>
      <c r="H15" s="133"/>
      <c r="I15" s="133"/>
      <c r="J15" s="127"/>
      <c r="K15" s="131" t="s">
        <v>170</v>
      </c>
      <c r="L15" s="131"/>
      <c r="M15" s="131"/>
      <c r="N15" s="131"/>
      <c r="O15" s="132"/>
      <c r="P15" s="132"/>
      <c r="Q15" s="133"/>
      <c r="R15" s="133"/>
    </row>
    <row r="16" spans="1:60" x14ac:dyDescent="0.25">
      <c r="A16" s="127"/>
      <c r="B16" s="136"/>
      <c r="C16" s="136"/>
      <c r="D16" s="136"/>
      <c r="E16" s="136"/>
      <c r="F16" s="137"/>
      <c r="G16" s="130" t="s">
        <v>171</v>
      </c>
      <c r="H16" s="138">
        <f>SUM(H14:H15)</f>
        <v>0</v>
      </c>
      <c r="I16" s="138">
        <f>SUM(I14:I15)</f>
        <v>0</v>
      </c>
      <c r="J16" s="127"/>
      <c r="K16" s="136"/>
      <c r="L16" s="136"/>
      <c r="M16" s="136"/>
      <c r="N16" s="136"/>
      <c r="O16" s="137"/>
      <c r="P16" s="130" t="s">
        <v>171</v>
      </c>
      <c r="Q16" s="138">
        <f>SUM(Q14:Q15)</f>
        <v>0</v>
      </c>
      <c r="R16" s="138">
        <f>SUM(R14:R15)</f>
        <v>0</v>
      </c>
    </row>
    <row r="17" spans="1:18" x14ac:dyDescent="0.25">
      <c r="A17" s="127"/>
      <c r="C17" s="127"/>
      <c r="D17" s="127"/>
      <c r="E17" s="127"/>
      <c r="F17" s="127"/>
      <c r="J17" s="127"/>
      <c r="R17" s="127"/>
    </row>
    <row r="18" spans="1:18" s="107" customFormat="1" ht="16.5" customHeight="1" x14ac:dyDescent="0.25">
      <c r="A18" s="106"/>
      <c r="B18" s="258" t="s">
        <v>226</v>
      </c>
      <c r="C18" s="258"/>
      <c r="D18" s="258"/>
      <c r="E18" s="258"/>
      <c r="F18" s="258"/>
      <c r="G18" s="258"/>
      <c r="H18" s="258"/>
      <c r="I18" s="258"/>
      <c r="J18" s="258"/>
      <c r="K18" s="258"/>
      <c r="L18" s="258"/>
      <c r="M18" s="258"/>
      <c r="N18" s="258"/>
      <c r="O18" s="258"/>
      <c r="P18" s="258"/>
      <c r="Q18" s="258"/>
      <c r="R18" s="258"/>
    </row>
    <row r="19" spans="1:18" s="107" customFormat="1" ht="16.5" customHeight="1" x14ac:dyDescent="0.25">
      <c r="A19" s="106"/>
      <c r="M19" s="115"/>
    </row>
    <row r="20" spans="1:18" ht="15" customHeight="1" x14ac:dyDescent="0.25">
      <c r="A20" s="127"/>
      <c r="B20" s="259" t="s">
        <v>162</v>
      </c>
      <c r="C20" s="259"/>
      <c r="D20" s="259"/>
      <c r="E20" s="259"/>
      <c r="F20" s="259"/>
      <c r="G20" s="259"/>
      <c r="H20" s="259"/>
      <c r="I20" s="259"/>
      <c r="J20" s="127"/>
      <c r="K20" s="259" t="s">
        <v>163</v>
      </c>
      <c r="L20" s="259"/>
      <c r="M20" s="259"/>
      <c r="N20" s="259"/>
      <c r="O20" s="259"/>
      <c r="P20" s="259"/>
      <c r="Q20" s="259"/>
      <c r="R20" s="259"/>
    </row>
    <row r="21" spans="1:18" ht="45" x14ac:dyDescent="0.25">
      <c r="A21" s="127"/>
      <c r="B21" s="130" t="s">
        <v>164</v>
      </c>
      <c r="C21" s="130" t="s">
        <v>165</v>
      </c>
      <c r="D21" s="130" t="s">
        <v>166</v>
      </c>
      <c r="E21" s="130" t="s">
        <v>167</v>
      </c>
      <c r="F21" s="130" t="s">
        <v>192</v>
      </c>
      <c r="G21" s="130" t="s">
        <v>168</v>
      </c>
      <c r="H21" s="130" t="s">
        <v>207</v>
      </c>
      <c r="I21" s="130" t="s">
        <v>208</v>
      </c>
      <c r="J21" s="127"/>
      <c r="K21" s="165" t="s">
        <v>169</v>
      </c>
      <c r="L21" s="165" t="s">
        <v>165</v>
      </c>
      <c r="M21" s="165" t="s">
        <v>166</v>
      </c>
      <c r="N21" s="165" t="s">
        <v>167</v>
      </c>
      <c r="O21" s="165" t="s">
        <v>193</v>
      </c>
      <c r="P21" s="165" t="s">
        <v>168</v>
      </c>
      <c r="Q21" s="165" t="s">
        <v>207</v>
      </c>
      <c r="R21" s="165" t="s">
        <v>208</v>
      </c>
    </row>
    <row r="22" spans="1:18" x14ac:dyDescent="0.25">
      <c r="A22" s="127"/>
      <c r="B22" s="131"/>
      <c r="C22" s="131"/>
      <c r="D22" s="131"/>
      <c r="E22" s="131"/>
      <c r="F22" s="132"/>
      <c r="G22" s="132"/>
      <c r="H22" s="133"/>
      <c r="I22" s="133"/>
      <c r="J22" s="127"/>
      <c r="K22" s="134"/>
      <c r="L22" s="134"/>
      <c r="M22" s="134"/>
      <c r="N22" s="134"/>
      <c r="O22" s="135"/>
      <c r="P22" s="135"/>
      <c r="Q22" s="133"/>
      <c r="R22" s="133"/>
    </row>
    <row r="23" spans="1:18" x14ac:dyDescent="0.25">
      <c r="A23" s="127"/>
      <c r="B23" s="131" t="s">
        <v>170</v>
      </c>
      <c r="C23" s="131"/>
      <c r="D23" s="131"/>
      <c r="E23" s="131"/>
      <c r="F23" s="132"/>
      <c r="G23" s="132"/>
      <c r="H23" s="133"/>
      <c r="I23" s="133"/>
      <c r="J23" s="127"/>
      <c r="K23" s="131" t="s">
        <v>170</v>
      </c>
      <c r="L23" s="131"/>
      <c r="M23" s="131"/>
      <c r="N23" s="131"/>
      <c r="O23" s="132"/>
      <c r="P23" s="132"/>
      <c r="Q23" s="133"/>
      <c r="R23" s="133"/>
    </row>
    <row r="24" spans="1:18" x14ac:dyDescent="0.25">
      <c r="A24" s="127"/>
      <c r="B24" s="136"/>
      <c r="C24" s="136"/>
      <c r="D24" s="136"/>
      <c r="E24" s="136"/>
      <c r="F24" s="137"/>
      <c r="G24" s="130" t="s">
        <v>171</v>
      </c>
      <c r="H24" s="138">
        <f>SUM(H22:H23)</f>
        <v>0</v>
      </c>
      <c r="I24" s="138">
        <f>SUM(I22:I23)</f>
        <v>0</v>
      </c>
      <c r="J24" s="127"/>
      <c r="K24" s="136"/>
      <c r="L24" s="136"/>
      <c r="M24" s="136"/>
      <c r="N24" s="136"/>
      <c r="O24" s="137"/>
      <c r="P24" s="130" t="s">
        <v>171</v>
      </c>
      <c r="Q24" s="138">
        <f>SUM(Q22:Q23)</f>
        <v>0</v>
      </c>
      <c r="R24" s="138">
        <f>SUM(R22:R23)</f>
        <v>0</v>
      </c>
    </row>
    <row r="25" spans="1:18" x14ac:dyDescent="0.25">
      <c r="A25" s="127"/>
      <c r="C25" s="127"/>
      <c r="D25" s="127"/>
      <c r="E25" s="127"/>
      <c r="F25" s="127"/>
      <c r="J25" s="127"/>
      <c r="R25" s="127"/>
    </row>
    <row r="26" spans="1:18" s="107" customFormat="1" ht="16.5" customHeight="1" x14ac:dyDescent="0.25">
      <c r="A26" s="106"/>
      <c r="B26" s="258" t="s">
        <v>227</v>
      </c>
      <c r="C26" s="258"/>
      <c r="D26" s="258"/>
      <c r="E26" s="258"/>
      <c r="F26" s="258"/>
      <c r="G26" s="258"/>
      <c r="H26" s="258"/>
      <c r="I26" s="258"/>
      <c r="J26" s="258"/>
      <c r="K26" s="258"/>
      <c r="L26" s="258"/>
      <c r="M26" s="258"/>
      <c r="N26" s="258"/>
      <c r="O26" s="258"/>
      <c r="P26" s="258"/>
      <c r="Q26" s="258"/>
      <c r="R26" s="258"/>
    </row>
    <row r="27" spans="1:18" x14ac:dyDescent="0.25">
      <c r="B27" s="92" t="s">
        <v>191</v>
      </c>
      <c r="C27" s="127"/>
      <c r="D27" s="127"/>
      <c r="E27" s="127"/>
      <c r="F27" s="127"/>
    </row>
  </sheetData>
  <mergeCells count="16">
    <mergeCell ref="B5:F5"/>
    <mergeCell ref="A1:R1"/>
    <mergeCell ref="B3:F3"/>
    <mergeCell ref="B4:F4"/>
    <mergeCell ref="G3:N3"/>
    <mergeCell ref="G4:N4"/>
    <mergeCell ref="G5:N5"/>
    <mergeCell ref="B18:R18"/>
    <mergeCell ref="B26:R26"/>
    <mergeCell ref="B20:I20"/>
    <mergeCell ref="K20:R20"/>
    <mergeCell ref="B6:F6"/>
    <mergeCell ref="B10:R10"/>
    <mergeCell ref="K12:R12"/>
    <mergeCell ref="B12:I12"/>
    <mergeCell ref="G6:N6"/>
  </mergeCells>
  <pageMargins left="0.7" right="0.7" top="0.75" bottom="0.75" header="0.3" footer="0.3"/>
  <pageSetup paperSize="9" scale="45" fitToHeight="0" orientation="landscape" r:id="rId1"/>
  <colBreaks count="1" manualBreakCount="1">
    <brk id="18" max="2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H17"/>
  <sheetViews>
    <sheetView zoomScale="60" zoomScaleNormal="60" workbookViewId="0">
      <selection activeCell="A14" sqref="A14"/>
    </sheetView>
  </sheetViews>
  <sheetFormatPr baseColWidth="10" defaultRowHeight="15" x14ac:dyDescent="0.25"/>
  <cols>
    <col min="1" max="1" width="1.42578125" style="128" customWidth="1"/>
    <col min="2" max="2" width="18.28515625" style="128" customWidth="1"/>
    <col min="3" max="3" width="11.42578125" style="128"/>
    <col min="4" max="4" width="16.28515625" style="128" bestFit="1" customWidth="1"/>
    <col min="5" max="5" width="18.28515625" style="128" bestFit="1" customWidth="1"/>
    <col min="6" max="6" width="52.140625" style="128" customWidth="1"/>
    <col min="7" max="7" width="34.42578125" style="128" bestFit="1" customWidth="1"/>
    <col min="8" max="8" width="20" style="128" customWidth="1"/>
    <col min="9" max="9" width="23" style="128" customWidth="1"/>
    <col min="10" max="10" width="11.42578125" style="128"/>
    <col min="11" max="11" width="14.42578125" style="128" bestFit="1" customWidth="1"/>
    <col min="12" max="12" width="11.42578125" style="128"/>
    <col min="13" max="13" width="16.28515625" style="128" bestFit="1" customWidth="1"/>
    <col min="14" max="14" width="18.28515625" style="128" bestFit="1" customWidth="1"/>
    <col min="15" max="15" width="47.7109375" style="128" customWidth="1"/>
    <col min="16" max="16" width="28.42578125" style="128" bestFit="1" customWidth="1"/>
    <col min="17" max="17" width="18.28515625" style="128" customWidth="1"/>
    <col min="18" max="18" width="21.140625" style="128" customWidth="1"/>
    <col min="19" max="16384" width="11.42578125" style="128"/>
  </cols>
  <sheetData>
    <row r="1" spans="1:60" s="123" customFormat="1" ht="24.75" customHeight="1" x14ac:dyDescent="0.25">
      <c r="A1" s="263" t="s">
        <v>158</v>
      </c>
      <c r="B1" s="263"/>
      <c r="C1" s="263"/>
      <c r="D1" s="263"/>
      <c r="E1" s="263"/>
      <c r="F1" s="263"/>
      <c r="G1" s="263"/>
      <c r="H1" s="263"/>
      <c r="I1" s="263"/>
      <c r="J1" s="263"/>
      <c r="K1" s="263"/>
      <c r="L1" s="263"/>
      <c r="M1" s="263"/>
      <c r="N1" s="263"/>
      <c r="O1" s="263"/>
      <c r="P1" s="263"/>
      <c r="Q1" s="263"/>
      <c r="R1" s="263"/>
    </row>
    <row r="2" spans="1:60" s="124" customFormat="1" ht="16.5" customHeight="1" x14ac:dyDescent="0.25"/>
    <row r="3" spans="1:60" s="126" customFormat="1" ht="15.75" customHeight="1" x14ac:dyDescent="0.25">
      <c r="A3" s="125"/>
      <c r="B3" s="260" t="s">
        <v>135</v>
      </c>
      <c r="C3" s="261"/>
      <c r="D3" s="261"/>
      <c r="E3" s="261"/>
      <c r="F3" s="262"/>
      <c r="G3" s="200"/>
      <c r="H3" s="200"/>
      <c r="I3" s="200"/>
      <c r="J3" s="200"/>
      <c r="K3" s="200"/>
      <c r="L3" s="200"/>
      <c r="M3" s="200"/>
      <c r="N3" s="200"/>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row>
    <row r="4" spans="1:60" s="126" customFormat="1" ht="15.75" customHeight="1" x14ac:dyDescent="0.25">
      <c r="A4" s="125"/>
      <c r="B4" s="260" t="s">
        <v>172</v>
      </c>
      <c r="C4" s="261"/>
      <c r="D4" s="261"/>
      <c r="E4" s="261"/>
      <c r="F4" s="262"/>
      <c r="G4" s="200"/>
      <c r="H4" s="200"/>
      <c r="I4" s="200"/>
      <c r="J4" s="200"/>
      <c r="K4" s="200"/>
      <c r="L4" s="200"/>
      <c r="M4" s="200"/>
      <c r="N4" s="200"/>
      <c r="O4" s="125"/>
      <c r="P4" s="125"/>
      <c r="Q4" s="125"/>
      <c r="R4" s="125"/>
      <c r="S4" s="125"/>
      <c r="T4" s="125"/>
      <c r="U4" s="125"/>
      <c r="V4" s="125"/>
      <c r="W4" s="125"/>
      <c r="X4" s="125"/>
      <c r="Y4" s="125"/>
      <c r="Z4" s="125"/>
      <c r="AA4" s="125"/>
      <c r="AB4" s="125"/>
      <c r="AC4" s="125"/>
      <c r="AD4" s="125"/>
      <c r="AE4" s="125"/>
      <c r="AF4" s="125"/>
      <c r="AG4" s="125"/>
      <c r="AH4" s="125"/>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row>
    <row r="5" spans="1:60" s="126" customFormat="1" ht="15.75" customHeight="1" x14ac:dyDescent="0.25">
      <c r="A5" s="125"/>
      <c r="B5" s="260" t="s">
        <v>173</v>
      </c>
      <c r="C5" s="261"/>
      <c r="D5" s="261"/>
      <c r="E5" s="261"/>
      <c r="F5" s="262"/>
      <c r="G5" s="200"/>
      <c r="H5" s="200"/>
      <c r="I5" s="200"/>
      <c r="J5" s="200"/>
      <c r="K5" s="200"/>
      <c r="L5" s="200"/>
      <c r="M5" s="200"/>
      <c r="N5" s="200"/>
      <c r="O5" s="125"/>
      <c r="P5" s="125"/>
      <c r="Q5" s="125"/>
      <c r="R5" s="125"/>
      <c r="S5" s="125"/>
      <c r="T5" s="125"/>
      <c r="U5" s="125"/>
      <c r="V5" s="125"/>
      <c r="W5" s="125"/>
      <c r="X5" s="125"/>
      <c r="Y5" s="125"/>
      <c r="Z5" s="125"/>
      <c r="AA5" s="125"/>
      <c r="AB5" s="125"/>
      <c r="AC5" s="125"/>
      <c r="AD5" s="125"/>
      <c r="AE5" s="125"/>
      <c r="AF5" s="125"/>
      <c r="AG5" s="125"/>
      <c r="AH5" s="125"/>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row>
    <row r="6" spans="1:60" s="126" customFormat="1" ht="15.75" customHeight="1" x14ac:dyDescent="0.25">
      <c r="A6" s="125"/>
      <c r="B6" s="260" t="s">
        <v>174</v>
      </c>
      <c r="C6" s="261"/>
      <c r="D6" s="261"/>
      <c r="E6" s="261"/>
      <c r="F6" s="262"/>
      <c r="G6" s="200"/>
      <c r="H6" s="200"/>
      <c r="I6" s="200"/>
      <c r="J6" s="200"/>
      <c r="K6" s="200"/>
      <c r="L6" s="200"/>
      <c r="M6" s="200"/>
      <c r="N6" s="200"/>
      <c r="O6" s="125"/>
      <c r="P6" s="125"/>
      <c r="Q6" s="125"/>
      <c r="R6" s="125"/>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row>
    <row r="7" spans="1:60" x14ac:dyDescent="0.25">
      <c r="A7" s="127"/>
      <c r="B7" s="127"/>
      <c r="C7" s="127"/>
      <c r="D7" s="127"/>
      <c r="E7" s="127"/>
      <c r="F7" s="127"/>
      <c r="G7" s="127"/>
      <c r="H7" s="127"/>
      <c r="I7" s="127"/>
      <c r="J7" s="127"/>
      <c r="K7" s="127"/>
      <c r="L7" s="127"/>
      <c r="M7" s="127"/>
      <c r="N7" s="127"/>
      <c r="O7" s="127"/>
      <c r="P7" s="127"/>
      <c r="Q7" s="127"/>
    </row>
    <row r="8" spans="1:60" x14ac:dyDescent="0.25">
      <c r="A8" s="127"/>
      <c r="B8" s="129" t="s">
        <v>175</v>
      </c>
      <c r="C8" s="127"/>
      <c r="D8" s="127"/>
      <c r="E8" s="127"/>
      <c r="F8" s="127"/>
      <c r="G8" s="127"/>
      <c r="H8" s="127"/>
      <c r="I8" s="127"/>
      <c r="J8" s="127"/>
      <c r="K8" s="127"/>
      <c r="L8" s="127"/>
      <c r="M8" s="127"/>
      <c r="N8" s="127"/>
      <c r="O8" s="127"/>
      <c r="P8" s="127"/>
      <c r="Q8" s="127"/>
    </row>
    <row r="9" spans="1:60" x14ac:dyDescent="0.25">
      <c r="A9" s="127"/>
      <c r="B9" s="127"/>
      <c r="C9" s="127"/>
      <c r="D9" s="127"/>
      <c r="E9" s="127"/>
      <c r="F9" s="127"/>
      <c r="G9" s="127"/>
      <c r="H9" s="127"/>
      <c r="I9" s="127"/>
      <c r="J9" s="127"/>
      <c r="K9" s="127"/>
      <c r="L9" s="127"/>
      <c r="M9" s="127"/>
      <c r="N9" s="127"/>
      <c r="O9" s="127"/>
      <c r="P9" s="127"/>
      <c r="Q9" s="127"/>
    </row>
    <row r="10" spans="1:60" ht="15.75" customHeight="1" x14ac:dyDescent="0.25">
      <c r="A10" s="127"/>
      <c r="B10" s="264" t="s">
        <v>176</v>
      </c>
      <c r="C10" s="264"/>
      <c r="D10" s="264"/>
      <c r="E10" s="264"/>
      <c r="F10" s="264"/>
      <c r="G10" s="264"/>
      <c r="H10" s="264"/>
      <c r="I10" s="264"/>
      <c r="J10" s="264"/>
      <c r="K10" s="264"/>
      <c r="L10" s="264"/>
      <c r="M10" s="264"/>
      <c r="N10" s="264"/>
      <c r="O10" s="264"/>
      <c r="P10" s="264"/>
      <c r="Q10" s="264"/>
      <c r="R10" s="264"/>
    </row>
    <row r="11" spans="1:60" x14ac:dyDescent="0.25">
      <c r="A11" s="127"/>
      <c r="B11" s="127"/>
      <c r="C11" s="127"/>
      <c r="D11" s="127"/>
      <c r="E11" s="127"/>
      <c r="F11" s="127"/>
      <c r="G11" s="127"/>
      <c r="H11" s="127"/>
      <c r="I11" s="127"/>
      <c r="J11" s="127"/>
      <c r="K11" s="127"/>
      <c r="L11" s="127"/>
      <c r="M11" s="127"/>
      <c r="N11" s="127"/>
      <c r="O11" s="127"/>
      <c r="P11" s="127"/>
      <c r="Q11" s="127"/>
      <c r="R11" s="127"/>
    </row>
    <row r="12" spans="1:60" x14ac:dyDescent="0.25">
      <c r="A12" s="127"/>
      <c r="B12" s="265" t="s">
        <v>177</v>
      </c>
      <c r="C12" s="265"/>
      <c r="D12" s="265"/>
      <c r="E12" s="265"/>
      <c r="F12" s="265"/>
      <c r="G12" s="265"/>
      <c r="H12" s="265"/>
      <c r="I12" s="265"/>
      <c r="J12" s="127"/>
      <c r="K12" s="265" t="s">
        <v>178</v>
      </c>
      <c r="L12" s="265"/>
      <c r="M12" s="265"/>
      <c r="N12" s="265"/>
      <c r="O12" s="265"/>
      <c r="P12" s="265"/>
      <c r="Q12" s="265"/>
      <c r="R12" s="265"/>
    </row>
    <row r="13" spans="1:60" ht="45" x14ac:dyDescent="0.25">
      <c r="A13" s="127"/>
      <c r="B13" s="130" t="s">
        <v>164</v>
      </c>
      <c r="C13" s="130" t="s">
        <v>165</v>
      </c>
      <c r="D13" s="130" t="s">
        <v>166</v>
      </c>
      <c r="E13" s="130" t="s">
        <v>179</v>
      </c>
      <c r="F13" s="130" t="s">
        <v>192</v>
      </c>
      <c r="G13" s="130" t="s">
        <v>180</v>
      </c>
      <c r="H13" s="130" t="s">
        <v>207</v>
      </c>
      <c r="I13" s="130" t="s">
        <v>208</v>
      </c>
      <c r="J13" s="127"/>
      <c r="K13" s="130" t="s">
        <v>169</v>
      </c>
      <c r="L13" s="130" t="s">
        <v>165</v>
      </c>
      <c r="M13" s="130" t="s">
        <v>166</v>
      </c>
      <c r="N13" s="130" t="s">
        <v>179</v>
      </c>
      <c r="O13" s="130" t="s">
        <v>193</v>
      </c>
      <c r="P13" s="130" t="s">
        <v>180</v>
      </c>
      <c r="Q13" s="130" t="s">
        <v>207</v>
      </c>
      <c r="R13" s="130" t="s">
        <v>208</v>
      </c>
    </row>
    <row r="14" spans="1:60" x14ac:dyDescent="0.25">
      <c r="A14" s="127"/>
      <c r="B14" s="134"/>
      <c r="C14" s="134"/>
      <c r="D14" s="134"/>
      <c r="E14" s="134"/>
      <c r="F14" s="135"/>
      <c r="G14" s="135"/>
      <c r="H14" s="133"/>
      <c r="I14" s="133"/>
      <c r="J14" s="127"/>
      <c r="K14" s="134"/>
      <c r="L14" s="134"/>
      <c r="M14" s="134"/>
      <c r="N14" s="134"/>
      <c r="O14" s="135"/>
      <c r="P14" s="135"/>
      <c r="Q14" s="133"/>
      <c r="R14" s="133"/>
    </row>
    <row r="15" spans="1:60" x14ac:dyDescent="0.25">
      <c r="A15" s="127"/>
      <c r="B15" s="131" t="s">
        <v>170</v>
      </c>
      <c r="C15" s="131"/>
      <c r="D15" s="131"/>
      <c r="E15" s="131"/>
      <c r="F15" s="132"/>
      <c r="G15" s="132"/>
      <c r="H15" s="133"/>
      <c r="I15" s="133"/>
      <c r="J15" s="127"/>
      <c r="K15" s="131" t="s">
        <v>170</v>
      </c>
      <c r="L15" s="131"/>
      <c r="M15" s="131"/>
      <c r="N15" s="131"/>
      <c r="O15" s="132"/>
      <c r="P15" s="132"/>
      <c r="Q15" s="133"/>
      <c r="R15" s="133"/>
    </row>
    <row r="16" spans="1:60" x14ac:dyDescent="0.25">
      <c r="A16" s="127"/>
      <c r="B16" s="136"/>
      <c r="C16" s="136"/>
      <c r="D16" s="136"/>
      <c r="E16" s="136"/>
      <c r="F16" s="137"/>
      <c r="G16" s="130" t="s">
        <v>171</v>
      </c>
      <c r="H16" s="138">
        <f>SUM(H14:H15)</f>
        <v>0</v>
      </c>
      <c r="I16" s="138">
        <f>SUM(I14:I15)</f>
        <v>0</v>
      </c>
      <c r="J16" s="164"/>
      <c r="K16" s="136"/>
      <c r="L16" s="136"/>
      <c r="M16" s="136"/>
      <c r="N16" s="136"/>
      <c r="O16" s="137"/>
      <c r="P16" s="130" t="s">
        <v>171</v>
      </c>
      <c r="Q16" s="138">
        <f>SUM(Q14:Q15)</f>
        <v>0</v>
      </c>
      <c r="R16" s="138">
        <f>SUM(R14:R15)</f>
        <v>0</v>
      </c>
    </row>
    <row r="17" spans="1:18" x14ac:dyDescent="0.25">
      <c r="A17" s="127"/>
      <c r="R17" s="127"/>
    </row>
  </sheetData>
  <mergeCells count="12">
    <mergeCell ref="B5:F5"/>
    <mergeCell ref="A1:R1"/>
    <mergeCell ref="B3:F3"/>
    <mergeCell ref="B4:F4"/>
    <mergeCell ref="G3:N3"/>
    <mergeCell ref="G4:N4"/>
    <mergeCell ref="G5:N5"/>
    <mergeCell ref="B6:F6"/>
    <mergeCell ref="B10:R10"/>
    <mergeCell ref="B12:I12"/>
    <mergeCell ref="K12:R12"/>
    <mergeCell ref="G6:N6"/>
  </mergeCells>
  <pageMargins left="0.7" right="0.7" top="0.75" bottom="0.75" header="0.3" footer="0.3"/>
  <pageSetup paperSize="9" scale="10" fitToHeight="0" orientation="landscape" r:id="rId1"/>
  <colBreaks count="1" manualBreakCount="1">
    <brk id="18" max="2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3</vt:i4>
      </vt:variant>
    </vt:vector>
  </HeadingPairs>
  <TitlesOfParts>
    <vt:vector size="14" baseType="lpstr">
      <vt:lpstr>PRESUPUESTO MIEMBROS_INICIAL</vt:lpstr>
      <vt:lpstr>INSTRUCCIONES</vt:lpstr>
      <vt:lpstr>EXENCIÓN IVA (P.X)</vt:lpstr>
      <vt:lpstr>DESGLOSE PRESUP(PI-II.AC)_AGRUP</vt:lpstr>
      <vt:lpstr>DESGLOSE PRESUP (PI-II.B)_AGRUP</vt:lpstr>
      <vt:lpstr>DESGLOSE PRESUP (PI-II.AC)_ENT</vt:lpstr>
      <vt:lpstr>DESGLOSE PRESUP (PI-II.B)_ENT</vt:lpstr>
      <vt:lpstr>GASTOS PERSONAL P.X</vt:lpstr>
      <vt:lpstr>GASTOS TAM_P.X</vt:lpstr>
      <vt:lpstr>PROVEEDORES PXX-AGRUPACION</vt:lpstr>
      <vt:lpstr>PROVEEDORES PXX-ENTIDAD</vt:lpstr>
      <vt:lpstr>'EXENCIÓN IVA (P.X)'!Área_de_impresión</vt:lpstr>
      <vt:lpstr>'PROVEEDORES PXX-AGRUPACION'!Área_de_impresión</vt:lpstr>
      <vt:lpstr>'PROVEEDORES PXX-ENTIDAD'!Área_de_impresión</vt:lpstr>
    </vt:vector>
  </TitlesOfParts>
  <Company>TRAGSA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Guisado Martinez, Laura</dc:creator>
  <cp:lastModifiedBy>Sanchez Molano, Veronica</cp:lastModifiedBy>
  <cp:lastPrinted>2025-11-19T08:37:29Z</cp:lastPrinted>
  <dcterms:created xsi:type="dcterms:W3CDTF">2025-07-03T09:24:15Z</dcterms:created>
  <dcterms:modified xsi:type="dcterms:W3CDTF">2026-04-22T08:58:19Z</dcterms:modified>
</cp:coreProperties>
</file>